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" sheetId="1" state="visible" r:id="rId1"/>
    <sheet xmlns:r="http://schemas.openxmlformats.org/officeDocument/2006/relationships" name="TOMADO" sheetId="2" state="visible" r:id="rId2"/>
  </sheets>
  <definedNames>
    <definedName name="_xlnm._FilterDatabase" localSheetId="0" hidden="1">'PRESTADO'!$A$3:$X$3</definedName>
    <definedName name="_xlnm._FilterDatabase" localSheetId="1" hidden="1">'TOMADO'!$A$3:$X$3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color rgb="FF000000"/>
      <sz val="9"/>
    </font>
    <font>
      <name val="Calibri"/>
      <color rgb="FF000000"/>
      <sz val="8"/>
    </font>
    <font>
      <name val="Calibri"/>
      <b val="1"/>
      <color rgb="FF1E8449"/>
      <sz val="10"/>
    </font>
    <font>
      <name val="Calibri"/>
      <b val="1"/>
      <color rgb="FF000000"/>
      <sz val="10"/>
    </font>
    <font>
      <name val="Calibri"/>
      <b val="1"/>
      <color rgb="FFC0392B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F6B75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2E86C1"/>
      </patternFill>
    </fill>
    <fill>
      <patternFill patternType="solid">
        <fgColor rgb="FFF4F6F7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9E79F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right" vertical="center"/>
    </xf>
    <xf numFmtId="0" fontId="0" fillId="12" borderId="1" pivotButton="0" quotePrefix="0" xfId="0"/>
    <xf numFmtId="0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right" vertical="center"/>
    </xf>
    <xf numFmtId="164" fontId="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CARDOSO &amp; GONZAGA - INSTITUTO W  - 12824495000152 —  04/2026 - REGIME: Simples Nacional EPP</t>
        </is>
      </c>
    </row>
    <row r="2" ht="18" customHeight="1">
      <c r="A2" s="2" t="inlineStr">
        <is>
          <t>TOMADOR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CLIENTE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5" customHeight="1">
      <c r="A4" s="9" t="inlineStr">
        <is>
          <t>00654664382</t>
        </is>
      </c>
      <c r="B4" s="9" t="inlineStr">
        <is>
          <t>ADRIANO FERREIRA DA SILVA</t>
        </is>
      </c>
      <c r="C4" s="10" t="inlineStr">
        <is>
          <t>01.04.2026</t>
        </is>
      </c>
      <c r="D4" s="10" t="inlineStr">
        <is>
          <t>25</t>
        </is>
      </c>
      <c r="E4" s="11" t="inlineStr">
        <is>
          <t>✓</t>
        </is>
      </c>
      <c r="F4" s="10" t="inlineStr">
        <is>
          <t>040802</t>
        </is>
      </c>
      <c r="G4" s="12" t="n">
        <v>2700</v>
      </c>
      <c r="H4" s="12" t="n">
        <v>0</v>
      </c>
      <c r="I4" s="12" t="n">
        <v>0</v>
      </c>
      <c r="J4" s="12" t="n">
        <v>2700</v>
      </c>
      <c r="K4" s="10" t="inlineStr">
        <is>
          <t>Não Retido</t>
        </is>
      </c>
      <c r="L4" s="12" t="n">
        <v>0</v>
      </c>
      <c r="M4" s="13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3" t="n">
        <v>0</v>
      </c>
      <c r="T4" s="12" t="n">
        <v>0</v>
      </c>
      <c r="U4" s="12" t="n">
        <v>0</v>
      </c>
      <c r="V4" s="13" t="n">
        <v>0</v>
      </c>
      <c r="W4" s="12" t="n">
        <v>0</v>
      </c>
      <c r="X4" s="14" t="inlineStr">
        <is>
          <t>21053022212824495000152000000000002526041486257614</t>
        </is>
      </c>
    </row>
    <row r="5" ht="15" customHeight="1">
      <c r="A5" s="15" t="inlineStr">
        <is>
          <t>07541887366</t>
        </is>
      </c>
      <c r="B5" s="15" t="inlineStr">
        <is>
          <t>YASMIN SALES DE OLIVEIRA</t>
        </is>
      </c>
      <c r="C5" s="16" t="inlineStr">
        <is>
          <t>01.04.2026</t>
        </is>
      </c>
      <c r="D5" s="16" t="inlineStr">
        <is>
          <t>24</t>
        </is>
      </c>
      <c r="E5" s="11" t="inlineStr">
        <is>
          <t>✓</t>
        </is>
      </c>
      <c r="F5" s="16" t="inlineStr">
        <is>
          <t>040802</t>
        </is>
      </c>
      <c r="G5" s="17" t="n">
        <v>1000</v>
      </c>
      <c r="H5" s="17" t="n">
        <v>0</v>
      </c>
      <c r="I5" s="17" t="n">
        <v>0</v>
      </c>
      <c r="J5" s="17" t="n">
        <v>1000</v>
      </c>
      <c r="K5" s="16" t="inlineStr">
        <is>
          <t>Não Retido</t>
        </is>
      </c>
      <c r="L5" s="17" t="n">
        <v>0</v>
      </c>
      <c r="M5" s="18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8" t="n">
        <v>0</v>
      </c>
      <c r="T5" s="17" t="n">
        <v>0</v>
      </c>
      <c r="U5" s="17" t="n">
        <v>0</v>
      </c>
      <c r="V5" s="18" t="n">
        <v>0</v>
      </c>
      <c r="W5" s="17" t="n">
        <v>0</v>
      </c>
      <c r="X5" s="19" t="inlineStr">
        <is>
          <t>21053022212824495000152000000000002426049063945551</t>
        </is>
      </c>
    </row>
    <row r="6" ht="15" customHeight="1">
      <c r="A6" s="9" t="inlineStr">
        <is>
          <t>80072089334</t>
        </is>
      </c>
      <c r="B6" s="9" t="inlineStr">
        <is>
          <t>GENALDO PEREIRA DINIZ JUNIOR</t>
        </is>
      </c>
      <c r="C6" s="10" t="inlineStr">
        <is>
          <t>07.04.2026</t>
        </is>
      </c>
      <c r="D6" s="10" t="inlineStr">
        <is>
          <t>28</t>
        </is>
      </c>
      <c r="E6" s="11" t="inlineStr">
        <is>
          <t>✓</t>
        </is>
      </c>
      <c r="F6" s="10" t="inlineStr">
        <is>
          <t>040803</t>
        </is>
      </c>
      <c r="G6" s="12" t="n">
        <v>3000</v>
      </c>
      <c r="H6" s="12" t="n">
        <v>0</v>
      </c>
      <c r="I6" s="12" t="n">
        <v>0</v>
      </c>
      <c r="J6" s="12" t="n">
        <v>3000</v>
      </c>
      <c r="K6" s="10" t="inlineStr">
        <is>
          <t>Não Retido</t>
        </is>
      </c>
      <c r="L6" s="12" t="n">
        <v>0</v>
      </c>
      <c r="M6" s="13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3" t="n">
        <v>0</v>
      </c>
      <c r="T6" s="12" t="n">
        <v>0</v>
      </c>
      <c r="U6" s="12" t="n">
        <v>0</v>
      </c>
      <c r="V6" s="13" t="n">
        <v>0</v>
      </c>
      <c r="W6" s="12" t="n">
        <v>0</v>
      </c>
      <c r="X6" s="14" t="inlineStr">
        <is>
          <t>21053022212824495000152000000000002826040952471011</t>
        </is>
      </c>
    </row>
    <row r="7" ht="15" customHeight="1">
      <c r="A7" s="15" t="inlineStr">
        <is>
          <t>80072089334</t>
        </is>
      </c>
      <c r="B7" s="15" t="inlineStr">
        <is>
          <t>GENALDO PEREIRA DINIZ JUNIOR</t>
        </is>
      </c>
      <c r="C7" s="16" t="inlineStr">
        <is>
          <t>07.04.2026</t>
        </is>
      </c>
      <c r="D7" s="16" t="inlineStr">
        <is>
          <t>27</t>
        </is>
      </c>
      <c r="E7" s="11" t="inlineStr">
        <is>
          <t>✓</t>
        </is>
      </c>
      <c r="F7" s="16" t="inlineStr">
        <is>
          <t>040802</t>
        </is>
      </c>
      <c r="G7" s="17" t="n">
        <v>2000</v>
      </c>
      <c r="H7" s="17" t="n">
        <v>0</v>
      </c>
      <c r="I7" s="17" t="n">
        <v>0</v>
      </c>
      <c r="J7" s="17" t="n">
        <v>2000</v>
      </c>
      <c r="K7" s="16" t="inlineStr">
        <is>
          <t>Não Retido</t>
        </is>
      </c>
      <c r="L7" s="17" t="n">
        <v>0</v>
      </c>
      <c r="M7" s="18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8" t="n">
        <v>0</v>
      </c>
      <c r="T7" s="17" t="n">
        <v>0</v>
      </c>
      <c r="U7" s="17" t="n">
        <v>0</v>
      </c>
      <c r="V7" s="18" t="n">
        <v>0</v>
      </c>
      <c r="W7" s="17" t="n">
        <v>0</v>
      </c>
      <c r="X7" s="19" t="inlineStr">
        <is>
          <t>21053022212824495000152000000000002726040975432450</t>
        </is>
      </c>
    </row>
    <row r="8" ht="15" customHeight="1">
      <c r="A8" s="9" t="inlineStr">
        <is>
          <t>32841671372</t>
        </is>
      </c>
      <c r="B8" s="9" t="inlineStr">
        <is>
          <t>DEUSILENE MARINHO DOS SANTOS</t>
        </is>
      </c>
      <c r="C8" s="10" t="inlineStr">
        <is>
          <t>07.04.2026</t>
        </is>
      </c>
      <c r="D8" s="10" t="inlineStr">
        <is>
          <t>26</t>
        </is>
      </c>
      <c r="E8" s="11" t="inlineStr">
        <is>
          <t>✓</t>
        </is>
      </c>
      <c r="F8" s="10" t="inlineStr">
        <is>
          <t>040802</t>
        </is>
      </c>
      <c r="G8" s="12" t="n">
        <v>1000</v>
      </c>
      <c r="H8" s="12" t="n">
        <v>0</v>
      </c>
      <c r="I8" s="12" t="n">
        <v>0</v>
      </c>
      <c r="J8" s="12" t="n">
        <v>1000</v>
      </c>
      <c r="K8" s="10" t="inlineStr">
        <is>
          <t>Não Retido</t>
        </is>
      </c>
      <c r="L8" s="12" t="n">
        <v>0</v>
      </c>
      <c r="M8" s="13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3" t="n">
        <v>0</v>
      </c>
      <c r="T8" s="12" t="n">
        <v>0</v>
      </c>
      <c r="U8" s="12" t="n">
        <v>0</v>
      </c>
      <c r="V8" s="13" t="n">
        <v>0</v>
      </c>
      <c r="W8" s="12" t="n">
        <v>0</v>
      </c>
      <c r="X8" s="14" t="inlineStr">
        <is>
          <t>21053022212824495000152000000000002626041194567897</t>
        </is>
      </c>
    </row>
    <row r="9" ht="15" customHeight="1">
      <c r="A9" s="15" t="inlineStr">
        <is>
          <t>05653188379</t>
        </is>
      </c>
      <c r="B9" s="15" t="inlineStr">
        <is>
          <t>BRENO HENRIQUE LIMA</t>
        </is>
      </c>
      <c r="C9" s="16" t="inlineStr">
        <is>
          <t>09.04.2026</t>
        </is>
      </c>
      <c r="D9" s="16" t="inlineStr">
        <is>
          <t>30</t>
        </is>
      </c>
      <c r="E9" s="11" t="inlineStr">
        <is>
          <t>✓</t>
        </is>
      </c>
      <c r="F9" s="16" t="inlineStr">
        <is>
          <t>040802</t>
        </is>
      </c>
      <c r="G9" s="17" t="n">
        <v>1200</v>
      </c>
      <c r="H9" s="17" t="n">
        <v>0</v>
      </c>
      <c r="I9" s="17" t="n">
        <v>0</v>
      </c>
      <c r="J9" s="17" t="n">
        <v>1200</v>
      </c>
      <c r="K9" s="16" t="inlineStr">
        <is>
          <t>Não Retido</t>
        </is>
      </c>
      <c r="L9" s="17" t="n">
        <v>0</v>
      </c>
      <c r="M9" s="18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8" t="n">
        <v>0</v>
      </c>
      <c r="T9" s="17" t="n">
        <v>0</v>
      </c>
      <c r="U9" s="17" t="n">
        <v>0</v>
      </c>
      <c r="V9" s="18" t="n">
        <v>0</v>
      </c>
      <c r="W9" s="17" t="n">
        <v>0</v>
      </c>
      <c r="X9" s="19" t="inlineStr">
        <is>
          <t>21053022212824495000152000000000003026040028982491</t>
        </is>
      </c>
    </row>
    <row r="10" ht="15" customHeight="1">
      <c r="A10" s="9" t="inlineStr">
        <is>
          <t>33633045368</t>
        </is>
      </c>
      <c r="B10" s="9" t="inlineStr">
        <is>
          <t>FRANCILENE ALVES VIANA</t>
        </is>
      </c>
      <c r="C10" s="10" t="inlineStr">
        <is>
          <t>09.04.2026</t>
        </is>
      </c>
      <c r="D10" s="10" t="inlineStr">
        <is>
          <t>29</t>
        </is>
      </c>
      <c r="E10" s="11" t="inlineStr">
        <is>
          <t>✓</t>
        </is>
      </c>
      <c r="F10" s="10" t="inlineStr">
        <is>
          <t>040802</t>
        </is>
      </c>
      <c r="G10" s="12" t="n">
        <v>1200</v>
      </c>
      <c r="H10" s="12" t="n">
        <v>0</v>
      </c>
      <c r="I10" s="12" t="n">
        <v>0</v>
      </c>
      <c r="J10" s="12" t="n">
        <v>1200</v>
      </c>
      <c r="K10" s="10" t="inlineStr">
        <is>
          <t>Não Retido</t>
        </is>
      </c>
      <c r="L10" s="12" t="n">
        <v>0</v>
      </c>
      <c r="M10" s="13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3" t="n">
        <v>0</v>
      </c>
      <c r="T10" s="12" t="n">
        <v>0</v>
      </c>
      <c r="U10" s="12" t="n">
        <v>0</v>
      </c>
      <c r="V10" s="13" t="n">
        <v>0</v>
      </c>
      <c r="W10" s="12" t="n">
        <v>0</v>
      </c>
      <c r="X10" s="14" t="inlineStr">
        <is>
          <t>21053022212824495000152000000000002926048602093440</t>
        </is>
      </c>
    </row>
    <row r="11" ht="15" customHeight="1">
      <c r="A11" s="15" t="inlineStr">
        <is>
          <t>55118810310</t>
        </is>
      </c>
      <c r="B11" s="15" t="inlineStr">
        <is>
          <t>ALBERTO NELIO BANDEIRA BARROS</t>
        </is>
      </c>
      <c r="C11" s="16" t="inlineStr">
        <is>
          <t>24.04.2026</t>
        </is>
      </c>
      <c r="D11" s="16" t="inlineStr">
        <is>
          <t>32</t>
        </is>
      </c>
      <c r="E11" s="11" t="inlineStr">
        <is>
          <t>✓</t>
        </is>
      </c>
      <c r="F11" s="16" t="inlineStr">
        <is>
          <t>040802</t>
        </is>
      </c>
      <c r="G11" s="17" t="n">
        <v>1000</v>
      </c>
      <c r="H11" s="17" t="n">
        <v>0</v>
      </c>
      <c r="I11" s="17" t="n">
        <v>0</v>
      </c>
      <c r="J11" s="17" t="n">
        <v>1000</v>
      </c>
      <c r="K11" s="16" t="inlineStr">
        <is>
          <t>Não Retido</t>
        </is>
      </c>
      <c r="L11" s="17" t="n">
        <v>0</v>
      </c>
      <c r="M11" s="18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8" t="n">
        <v>0</v>
      </c>
      <c r="T11" s="17" t="n">
        <v>0</v>
      </c>
      <c r="U11" s="17" t="n">
        <v>0</v>
      </c>
      <c r="V11" s="18" t="n">
        <v>0</v>
      </c>
      <c r="W11" s="17" t="n">
        <v>0</v>
      </c>
      <c r="X11" s="19" t="inlineStr">
        <is>
          <t>21053022212824495000152000000000003226043152980030</t>
        </is>
      </c>
    </row>
    <row r="12" ht="15" customHeight="1">
      <c r="A12" s="9" t="inlineStr">
        <is>
          <t>62643096304</t>
        </is>
      </c>
      <c r="B12" s="9" t="inlineStr">
        <is>
          <t>CAROLINE AIANNA SANTOS BARROS</t>
        </is>
      </c>
      <c r="C12" s="10" t="inlineStr">
        <is>
          <t>24.04.2026</t>
        </is>
      </c>
      <c r="D12" s="10" t="inlineStr">
        <is>
          <t>31</t>
        </is>
      </c>
      <c r="E12" s="11" t="inlineStr">
        <is>
          <t>✓</t>
        </is>
      </c>
      <c r="F12" s="10" t="inlineStr">
        <is>
          <t>040802</t>
        </is>
      </c>
      <c r="G12" s="12" t="n">
        <v>1000</v>
      </c>
      <c r="H12" s="12" t="n">
        <v>0</v>
      </c>
      <c r="I12" s="12" t="n">
        <v>0</v>
      </c>
      <c r="J12" s="12" t="n">
        <v>1000</v>
      </c>
      <c r="K12" s="10" t="inlineStr">
        <is>
          <t>Não Retido</t>
        </is>
      </c>
      <c r="L12" s="12" t="n">
        <v>0</v>
      </c>
      <c r="M12" s="13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3" t="n">
        <v>0</v>
      </c>
      <c r="T12" s="12" t="n">
        <v>0</v>
      </c>
      <c r="U12" s="12" t="n">
        <v>0</v>
      </c>
      <c r="V12" s="13" t="n">
        <v>0</v>
      </c>
      <c r="W12" s="12" t="n">
        <v>0</v>
      </c>
      <c r="X12" s="14" t="inlineStr">
        <is>
          <t>21053022212824495000152000000000003126048887216671</t>
        </is>
      </c>
    </row>
    <row r="13" ht="15" customHeight="1">
      <c r="A13" s="15" t="inlineStr">
        <is>
          <t>02287686320</t>
        </is>
      </c>
      <c r="B13" s="15" t="inlineStr">
        <is>
          <t>LOHANNA MIRELLE PEREIRA FRANCA SOUSA</t>
        </is>
      </c>
      <c r="C13" s="16" t="inlineStr">
        <is>
          <t>27.04.2026</t>
        </is>
      </c>
      <c r="D13" s="16" t="inlineStr">
        <is>
          <t>33</t>
        </is>
      </c>
      <c r="E13" s="11" t="inlineStr">
        <is>
          <t>✓</t>
        </is>
      </c>
      <c r="F13" s="16" t="inlineStr">
        <is>
          <t>040802</t>
        </is>
      </c>
      <c r="G13" s="17" t="n">
        <v>2000</v>
      </c>
      <c r="H13" s="17" t="n">
        <v>0</v>
      </c>
      <c r="I13" s="17" t="n">
        <v>0</v>
      </c>
      <c r="J13" s="17" t="n">
        <v>2000</v>
      </c>
      <c r="K13" s="16" t="inlineStr">
        <is>
          <t>Não Retido</t>
        </is>
      </c>
      <c r="L13" s="17" t="n">
        <v>0</v>
      </c>
      <c r="M13" s="18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8" t="n">
        <v>0</v>
      </c>
      <c r="T13" s="17" t="n">
        <v>0</v>
      </c>
      <c r="U13" s="17" t="n">
        <v>0</v>
      </c>
      <c r="V13" s="18" t="n">
        <v>0</v>
      </c>
      <c r="W13" s="17" t="n">
        <v>0</v>
      </c>
      <c r="X13" s="19" t="inlineStr">
        <is>
          <t>21053022212824495000152000000000003326049964479274</t>
        </is>
      </c>
    </row>
    <row r="14" ht="15" customHeight="1">
      <c r="A14" s="9" t="inlineStr">
        <is>
          <t>03893379355</t>
        </is>
      </c>
      <c r="B14" s="9" t="inlineStr">
        <is>
          <t>JULIO CESAR MARANI JUNIOR</t>
        </is>
      </c>
      <c r="C14" s="10" t="inlineStr">
        <is>
          <t>28.04.2026</t>
        </is>
      </c>
      <c r="D14" s="10" t="inlineStr">
        <is>
          <t>34</t>
        </is>
      </c>
      <c r="E14" s="11" t="inlineStr">
        <is>
          <t>✓</t>
        </is>
      </c>
      <c r="F14" s="10" t="inlineStr">
        <is>
          <t>040802</t>
        </is>
      </c>
      <c r="G14" s="12" t="n">
        <v>1000</v>
      </c>
      <c r="H14" s="12" t="n">
        <v>0</v>
      </c>
      <c r="I14" s="12" t="n">
        <v>0</v>
      </c>
      <c r="J14" s="12" t="n">
        <v>1000</v>
      </c>
      <c r="K14" s="10" t="inlineStr">
        <is>
          <t>Não Retido</t>
        </is>
      </c>
      <c r="L14" s="12" t="n">
        <v>0</v>
      </c>
      <c r="M14" s="13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3" t="n">
        <v>0</v>
      </c>
      <c r="T14" s="12" t="n">
        <v>0</v>
      </c>
      <c r="U14" s="12" t="n">
        <v>0</v>
      </c>
      <c r="V14" s="13" t="n">
        <v>0</v>
      </c>
      <c r="W14" s="12" t="n">
        <v>0</v>
      </c>
      <c r="X14" s="14" t="inlineStr">
        <is>
          <t>21053022212824495000152000000000003426048802079675</t>
        </is>
      </c>
    </row>
    <row r="15" ht="18" customHeight="1">
      <c r="A15" s="20" t="inlineStr">
        <is>
          <t>TOTAL  |  Regular: 11  |  Canceladas: 0  |  Cancelamento em análise: 0</t>
        </is>
      </c>
      <c r="G15" s="21" t="n">
        <v>17100</v>
      </c>
      <c r="H15" s="22" t="inlineStr"/>
      <c r="I15" s="21">
        <f>SUMIFS(I4:I14,E4:E14,"&lt;&gt;*Cancelada*")</f>
        <v/>
      </c>
      <c r="J15" s="21" t="n">
        <v>17100</v>
      </c>
      <c r="K15" s="22" t="inlineStr"/>
      <c r="L15" s="21">
        <f>SUMIFS(L4:L14,E4:E14,"&lt;&gt;*Cancelada*")</f>
        <v/>
      </c>
      <c r="M15" s="22" t="inlineStr"/>
      <c r="N15" s="21">
        <f>SUMIFS(N4:N14,E4:E14,"&lt;&gt;*Cancelada*")</f>
        <v/>
      </c>
      <c r="O15" s="21">
        <f>SUMIFS(O4:O14,E4:E14,"&lt;&gt;*Cancelada*")</f>
        <v/>
      </c>
      <c r="P15" s="21">
        <f>SUMIFS(P4:P14,E4:E14,"&lt;&gt;*Cancelada*")</f>
        <v/>
      </c>
      <c r="Q15" s="21">
        <f>SUMIFS(Q4:Q14,E4:E14,"&lt;&gt;*Cancelada*")</f>
        <v/>
      </c>
      <c r="R15" s="21">
        <f>SUMIFS(R4:R14,E4:E14,"&lt;&gt;*Cancelada*")</f>
        <v/>
      </c>
      <c r="S15" s="22" t="inlineStr"/>
      <c r="T15" s="21">
        <f>SUMIFS(T4:T14,E4:E14,"&lt;&gt;*Cancelada*")</f>
        <v/>
      </c>
      <c r="U15" s="21">
        <f>SUMIFS(U4:U14,E4:E14,"&lt;&gt;*Cancelada*")</f>
        <v/>
      </c>
      <c r="V15" s="22" t="inlineStr"/>
      <c r="W15" s="21">
        <f>SUMIFS(W4:W14,E4:E14,"&lt;&gt;*Cancelada*")</f>
        <v/>
      </c>
      <c r="X15" s="22" t="inlineStr"/>
    </row>
    <row r="16">
      <c r="M16" s="23" t="inlineStr">
        <is>
          <t>Não Retido</t>
        </is>
      </c>
      <c r="N16" s="24">
        <f>SUMIFS(N4:N14,K4:K14,"Não Retido",E4:E14,"&lt;&gt;*Cancelada*")</f>
        <v/>
      </c>
    </row>
    <row r="17">
      <c r="M17" s="25" t="inlineStr">
        <is>
          <t>Retido</t>
        </is>
      </c>
      <c r="N17" s="26">
        <f>SUMIFS(N4:N14,K4:K14,"Retido",E4:E14,"&lt;&gt;*Cancelada*")</f>
        <v/>
      </c>
    </row>
  </sheetData>
  <autoFilter ref="A3:X3"/>
  <mergeCells count="7">
    <mergeCell ref="A2:B2"/>
    <mergeCell ref="X2"/>
    <mergeCell ref="C2:J2"/>
    <mergeCell ref="A15:F15"/>
    <mergeCell ref="K2:N2"/>
    <mergeCell ref="A1:X1"/>
    <mergeCell ref="O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CARDOSO &amp; GONZAGA - INSTITUTO W  —  04/2026 - REGIME: Simples Nacional EPP</t>
        </is>
      </c>
    </row>
    <row r="2" ht="18" customHeight="1">
      <c r="A2" s="2" t="inlineStr">
        <is>
          <t>PRESTADOR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PRESTADOR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8" customHeight="1">
      <c r="A4" s="20" t="inlineStr">
        <is>
          <t>TOTAL  |  Regular: 0  |  Canceladas: 0  |  Cancelamento em análise: 0</t>
        </is>
      </c>
      <c r="G4" s="21" t="n">
        <v>0</v>
      </c>
      <c r="H4" s="22" t="inlineStr"/>
      <c r="I4" s="21">
        <f>SUMIFS(I4:I3,E4:E3,"&lt;&gt;*Cancelada*")</f>
        <v/>
      </c>
      <c r="J4" s="21" t="n">
        <v>0</v>
      </c>
      <c r="K4" s="22" t="inlineStr"/>
      <c r="L4" s="21">
        <f>SUMIFS(L4:L3,E4:E3,"&lt;&gt;*Cancelada*")</f>
        <v/>
      </c>
      <c r="M4" s="22" t="inlineStr"/>
      <c r="N4" s="21">
        <f>SUMIFS(N4:N3,E4:E3,"&lt;&gt;*Cancelada*")</f>
        <v/>
      </c>
      <c r="O4" s="21">
        <f>SUMIFS(O4:O3,E4:E3,"&lt;&gt;*Cancelada*")</f>
        <v/>
      </c>
      <c r="P4" s="21">
        <f>SUMIFS(P4:P3,E4:E3,"&lt;&gt;*Cancelada*")</f>
        <v/>
      </c>
      <c r="Q4" s="21">
        <f>SUMIFS(Q4:Q3,E4:E3,"&lt;&gt;*Cancelada*")</f>
        <v/>
      </c>
      <c r="R4" s="21">
        <f>SUMIFS(R4:R3,E4:E3,"&lt;&gt;*Cancelada*")</f>
        <v/>
      </c>
      <c r="S4" s="22" t="inlineStr"/>
      <c r="T4" s="21">
        <f>SUMIFS(T4:T3,E4:E3,"&lt;&gt;*Cancelada*")</f>
        <v/>
      </c>
      <c r="U4" s="21">
        <f>SUMIFS(U4:U3,E4:E3,"&lt;&gt;*Cancelada*")</f>
        <v/>
      </c>
      <c r="V4" s="22" t="inlineStr"/>
      <c r="W4" s="21">
        <f>SUMIFS(W4:W3,E4:E3,"&lt;&gt;*Cancelada*")</f>
        <v/>
      </c>
      <c r="X4" s="22" t="inlineStr"/>
    </row>
    <row r="5">
      <c r="M5" s="23" t="inlineStr">
        <is>
          <t>Não Retido</t>
        </is>
      </c>
      <c r="N5" s="24">
        <f>SUMIFS(N4:N3,K4:K3,"Não Retido",E4:E3,"&lt;&gt;*Cancelada*")</f>
        <v/>
      </c>
    </row>
    <row r="6">
      <c r="M6" s="25" t="inlineStr">
        <is>
          <t>Retido</t>
        </is>
      </c>
      <c r="N6" s="26">
        <f>SUMIFS(N4:N3,K4:K3,"Retido",E4:E3,"&lt;&gt;*Cancelada*")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A4:F4"/>
    <mergeCell ref="O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2026-05-18T20:11:38Z</dcterms:created>
  <dcterms:modified xmlns:dcterms="http://purl.org/dc/terms/" xmlns:xsi="http://www.w3.org/2001/XMLSchema-instance" xsi:type="dcterms:W3CDTF">2026-05-18T20:11:38Z</dcterms:modified>
</cp:coreProperties>
</file>