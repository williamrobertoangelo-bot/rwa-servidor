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C0392B"/>
      <sz val="9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ADBD8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right" vertical="center"/>
    </xf>
    <xf numFmtId="0" fontId="0" fillId="13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GIGANTE CAMISETAS LTDA  - 59158248000128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>
        <is>
          <t>87584948120</t>
        </is>
      </c>
      <c r="B4" s="9" t="inlineStr">
        <is>
          <t>IRINEU DOS SANTOS FRANCA</t>
        </is>
      </c>
      <c r="C4" s="10" t="inlineStr">
        <is>
          <t>10.04.2026</t>
        </is>
      </c>
      <c r="D4" s="10" t="inlineStr">
        <is>
          <t>7</t>
        </is>
      </c>
      <c r="E4" s="11" t="inlineStr">
        <is>
          <t>✓</t>
        </is>
      </c>
      <c r="F4" s="10" t="inlineStr">
        <is>
          <t>140901</t>
        </is>
      </c>
      <c r="G4" s="12" t="n">
        <v>150</v>
      </c>
      <c r="H4" s="12" t="n">
        <v>0</v>
      </c>
      <c r="I4" s="12" t="n">
        <v>0</v>
      </c>
      <c r="J4" s="12" t="n">
        <v>150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21053022259158248000128000000000000726045092462063</t>
        </is>
      </c>
    </row>
    <row r="5" ht="15" customHeight="1">
      <c r="A5" s="15" t="inlineStr">
        <is>
          <t>03028129205</t>
        </is>
      </c>
      <c r="B5" s="15" t="inlineStr">
        <is>
          <t>EVANDERSON SANTOS DE LIMA</t>
        </is>
      </c>
      <c r="C5" s="16" t="inlineStr">
        <is>
          <t>29.04.2026</t>
        </is>
      </c>
      <c r="D5" s="16" t="inlineStr">
        <is>
          <t>9</t>
        </is>
      </c>
      <c r="E5" s="11" t="inlineStr">
        <is>
          <t>✓</t>
        </is>
      </c>
      <c r="F5" s="16" t="inlineStr">
        <is>
          <t>140901</t>
        </is>
      </c>
      <c r="G5" s="17" t="n">
        <v>150</v>
      </c>
      <c r="H5" s="17" t="n">
        <v>0</v>
      </c>
      <c r="I5" s="17" t="n">
        <v>0</v>
      </c>
      <c r="J5" s="17" t="n">
        <v>150</v>
      </c>
      <c r="K5" s="16" t="inlineStr">
        <is>
          <t>Não Retido</t>
        </is>
      </c>
      <c r="L5" s="17" t="n">
        <v>0</v>
      </c>
      <c r="M5" s="18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</v>
      </c>
      <c r="T5" s="17" t="n">
        <v>0</v>
      </c>
      <c r="U5" s="17" t="n">
        <v>0</v>
      </c>
      <c r="V5" s="18" t="n">
        <v>0</v>
      </c>
      <c r="W5" s="17" t="n">
        <v>0</v>
      </c>
      <c r="X5" s="19" t="inlineStr">
        <is>
          <t>21053022259158248000128000000000000926046442132968</t>
        </is>
      </c>
    </row>
    <row r="6" ht="15" customHeight="1">
      <c r="A6" s="20" t="inlineStr">
        <is>
          <t>03028129205</t>
        </is>
      </c>
      <c r="B6" s="20" t="inlineStr">
        <is>
          <t>EVANDERSON SANTOS DE LIMA</t>
        </is>
      </c>
      <c r="C6" s="21" t="inlineStr">
        <is>
          <t>29.04.2026</t>
        </is>
      </c>
      <c r="D6" s="21" t="inlineStr">
        <is>
          <t>8</t>
        </is>
      </c>
      <c r="E6" s="22" t="inlineStr">
        <is>
          <t>✗  Cancelada</t>
        </is>
      </c>
      <c r="F6" s="21" t="inlineStr">
        <is>
          <t>140901</t>
        </is>
      </c>
      <c r="G6" s="23" t="n">
        <v>0</v>
      </c>
      <c r="H6" s="23" t="n">
        <v>0</v>
      </c>
      <c r="I6" s="23" t="n">
        <v>0</v>
      </c>
      <c r="J6" s="23" t="n">
        <v>0</v>
      </c>
      <c r="K6" s="21" t="inlineStr"/>
      <c r="L6" s="23" t="n">
        <v>0</v>
      </c>
      <c r="M6" s="24" t="n">
        <v>0</v>
      </c>
      <c r="N6" s="23" t="n">
        <v>0</v>
      </c>
      <c r="O6" s="23" t="n">
        <v>0</v>
      </c>
      <c r="P6" s="23" t="n">
        <v>0</v>
      </c>
      <c r="Q6" s="23" t="n">
        <v>0</v>
      </c>
      <c r="R6" s="23" t="n">
        <v>0</v>
      </c>
      <c r="S6" s="24" t="n">
        <v>0</v>
      </c>
      <c r="T6" s="23" t="n">
        <v>0</v>
      </c>
      <c r="U6" s="23" t="n">
        <v>0</v>
      </c>
      <c r="V6" s="24" t="n">
        <v>0</v>
      </c>
      <c r="W6" s="23" t="n">
        <v>0</v>
      </c>
      <c r="X6" s="25" t="inlineStr">
        <is>
          <t>21053022259158248000128000000000000826042466964479</t>
        </is>
      </c>
    </row>
    <row r="7" ht="18" customHeight="1">
      <c r="A7" s="26" t="inlineStr">
        <is>
          <t>TOTAL  |  Regular: 2  |  Canceladas: 1  |  Cancelamento em análise: 0</t>
        </is>
      </c>
      <c r="G7" s="27" t="n">
        <v>300</v>
      </c>
      <c r="H7" s="28" t="inlineStr"/>
      <c r="I7" s="27">
        <f>SUMIFS(I4:I6,E4:E6,"&lt;&gt;*Cancelada*")</f>
        <v/>
      </c>
      <c r="J7" s="27" t="n">
        <v>300</v>
      </c>
      <c r="K7" s="28" t="inlineStr"/>
      <c r="L7" s="27">
        <f>SUMIFS(L4:L6,E4:E6,"&lt;&gt;*Cancelada*")</f>
        <v/>
      </c>
      <c r="M7" s="28" t="inlineStr"/>
      <c r="N7" s="27">
        <f>SUMIFS(N4:N6,E4:E6,"&lt;&gt;*Cancelada*")</f>
        <v/>
      </c>
      <c r="O7" s="27">
        <f>SUMIFS(O4:O6,E4:E6,"&lt;&gt;*Cancelada*")</f>
        <v/>
      </c>
      <c r="P7" s="27">
        <f>SUMIFS(P4:P6,E4:E6,"&lt;&gt;*Cancelada*")</f>
        <v/>
      </c>
      <c r="Q7" s="27">
        <f>SUMIFS(Q4:Q6,E4:E6,"&lt;&gt;*Cancelada*")</f>
        <v/>
      </c>
      <c r="R7" s="27">
        <f>SUMIFS(R4:R6,E4:E6,"&lt;&gt;*Cancelada*")</f>
        <v/>
      </c>
      <c r="S7" s="28" t="inlineStr"/>
      <c r="T7" s="27">
        <f>SUMIFS(T4:T6,E4:E6,"&lt;&gt;*Cancelada*")</f>
        <v/>
      </c>
      <c r="U7" s="27">
        <f>SUMIFS(U4:U6,E4:E6,"&lt;&gt;*Cancelada*")</f>
        <v/>
      </c>
      <c r="V7" s="28" t="inlineStr"/>
      <c r="W7" s="27">
        <f>SUMIFS(W4:W6,E4:E6,"&lt;&gt;*Cancelada*")</f>
        <v/>
      </c>
      <c r="X7" s="28" t="inlineStr"/>
    </row>
    <row r="8">
      <c r="M8" s="29" t="inlineStr">
        <is>
          <t>Não Retido</t>
        </is>
      </c>
      <c r="N8" s="30">
        <f>SUMIFS(N4:N6,K4:K6,"Não Retido",E4:E6,"&lt;&gt;*Cancelada*")</f>
        <v/>
      </c>
    </row>
    <row r="9">
      <c r="M9" s="31" t="inlineStr">
        <is>
          <t>Retido</t>
        </is>
      </c>
      <c r="N9" s="32">
        <f>SUMIFS(N4:N6,K4:K6,"Retido",E4:E6,"&lt;&gt;*Cancelada*")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O2:W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GIGANTE CAMISETAS LTDA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26" t="inlineStr">
        <is>
          <t>TOTAL  |  Regular: 0  |  Canceladas: 0  |  Cancelamento em análise: 0</t>
        </is>
      </c>
      <c r="G4" s="27" t="n">
        <v>0</v>
      </c>
      <c r="H4" s="28" t="inlineStr"/>
      <c r="I4" s="27">
        <f>SUMIFS(I4:I3,E4:E3,"&lt;&gt;*Cancelada*")</f>
        <v/>
      </c>
      <c r="J4" s="27" t="n">
        <v>0</v>
      </c>
      <c r="K4" s="28" t="inlineStr"/>
      <c r="L4" s="27">
        <f>SUMIFS(L4:L3,E4:E3,"&lt;&gt;*Cancelada*")</f>
        <v/>
      </c>
      <c r="M4" s="28" t="inlineStr"/>
      <c r="N4" s="27">
        <f>SUMIFS(N4:N3,E4:E3,"&lt;&gt;*Cancelada*")</f>
        <v/>
      </c>
      <c r="O4" s="27">
        <f>SUMIFS(O4:O3,E4:E3,"&lt;&gt;*Cancelada*")</f>
        <v/>
      </c>
      <c r="P4" s="27">
        <f>SUMIFS(P4:P3,E4:E3,"&lt;&gt;*Cancelada*")</f>
        <v/>
      </c>
      <c r="Q4" s="27">
        <f>SUMIFS(Q4:Q3,E4:E3,"&lt;&gt;*Cancelada*")</f>
        <v/>
      </c>
      <c r="R4" s="27">
        <f>SUMIFS(R4:R3,E4:E3,"&lt;&gt;*Cancelada*")</f>
        <v/>
      </c>
      <c r="S4" s="28" t="inlineStr"/>
      <c r="T4" s="27">
        <f>SUMIFS(T4:T3,E4:E3,"&lt;&gt;*Cancelada*")</f>
        <v/>
      </c>
      <c r="U4" s="27">
        <f>SUMIFS(U4:U3,E4:E3,"&lt;&gt;*Cancelada*")</f>
        <v/>
      </c>
      <c r="V4" s="28" t="inlineStr"/>
      <c r="W4" s="27">
        <f>SUMIFS(W4:W3,E4:E3,"&lt;&gt;*Cancelada*")</f>
        <v/>
      </c>
      <c r="X4" s="28" t="inlineStr"/>
    </row>
    <row r="5">
      <c r="M5" s="29" t="inlineStr">
        <is>
          <t>Não Retido</t>
        </is>
      </c>
      <c r="N5" s="30">
        <f>SUMIFS(N4:N3,K4:K3,"Não Retido",E4:E3,"&lt;&gt;*Cancelada*")</f>
        <v/>
      </c>
    </row>
    <row r="6">
      <c r="M6" s="31" t="inlineStr">
        <is>
          <t>Retido</t>
        </is>
      </c>
      <c r="N6" s="32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2026-05-18T20:18:14Z</dcterms:created>
  <dcterms:modified xmlns:dcterms="http://purl.org/dc/terms/" xmlns:xsi="http://www.w3.org/2001/XMLSchema-instance" xsi:type="dcterms:W3CDTF">2026-05-18T20:18:14Z</dcterms:modified>
</cp:coreProperties>
</file>