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TADO" sheetId="1" state="visible" r:id="rId1"/>
    <sheet xmlns:r="http://schemas.openxmlformats.org/officeDocument/2006/relationships" name="TOMADO" sheetId="2" state="visible" r:id="rId2"/>
  </sheets>
  <definedNames>
    <definedName name="_xlnm._FilterDatabase" localSheetId="0" hidden="1">'PRESTADO'!$A$3:$X$3</definedName>
    <definedName name="_xlnm._FilterDatabase" localSheetId="1" hidden="1">'TOMADO'!$A$3:$X$3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&quot;%&quot;"/>
  </numFmts>
  <fonts count="10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b val="1"/>
      <color rgb="FFFFFFFF"/>
      <sz val="9"/>
    </font>
    <font>
      <name val="Calibri"/>
      <b val="1"/>
      <color rgb="FFFFFFFF"/>
      <sz val="8"/>
    </font>
    <font>
      <name val="Calibri"/>
      <color rgb="FF000000"/>
      <sz val="9"/>
    </font>
    <font>
      <name val="Calibri"/>
      <color rgb="FF000000"/>
      <sz val="8"/>
    </font>
    <font>
      <name val="Calibri"/>
      <b val="1"/>
      <color rgb="FF1E8449"/>
      <sz val="10"/>
    </font>
    <font>
      <name val="Calibri"/>
      <b val="1"/>
      <color rgb="FF000000"/>
      <sz val="10"/>
    </font>
    <font>
      <name val="Calibri"/>
      <b val="1"/>
      <color rgb="FFC0392B"/>
      <sz val="10"/>
    </font>
  </fonts>
  <fills count="13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1F6B75"/>
      </patternFill>
    </fill>
    <fill>
      <patternFill patternType="solid">
        <fgColor rgb="FF6C3483"/>
      </patternFill>
    </fill>
    <fill>
      <patternFill patternType="solid">
        <fgColor rgb="FF1A5276"/>
      </patternFill>
    </fill>
    <fill>
      <patternFill patternType="solid">
        <fgColor rgb="FF7D6608"/>
      </patternFill>
    </fill>
    <fill>
      <patternFill patternType="solid">
        <fgColor rgb="FF2E86C1"/>
      </patternFill>
    </fill>
    <fill>
      <patternFill patternType="solid">
        <fgColor rgb="FFF4F6F7"/>
      </patternFill>
    </fill>
    <fill>
      <patternFill patternType="solid">
        <fgColor rgb="FFD5F5E3"/>
      </patternFill>
    </fill>
    <fill>
      <patternFill patternType="solid">
        <fgColor rgb="FFF9E79F"/>
      </patternFill>
    </fill>
    <fill>
      <patternFill patternType="solid">
        <fgColor rgb="FFFADBD8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right" vertical="center"/>
    </xf>
    <xf numFmtId="165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center" vertical="center"/>
    </xf>
    <xf numFmtId="164" fontId="8" fillId="10" borderId="1" applyAlignment="1" pivotButton="0" quotePrefix="0" xfId="0">
      <alignment horizontal="right" vertical="center"/>
    </xf>
    <xf numFmtId="0" fontId="0" fillId="11" borderId="1" pivotButton="0" quotePrefix="0" xfId="0"/>
    <xf numFmtId="0" fontId="7" fillId="10" borderId="1" applyAlignment="1" pivotButton="0" quotePrefix="0" xfId="0">
      <alignment horizontal="right" vertical="center"/>
    </xf>
    <xf numFmtId="164" fontId="7" fillId="10" borderId="1" applyAlignment="1" pivotButton="0" quotePrefix="0" xfId="0">
      <alignment horizontal="right" vertical="center"/>
    </xf>
    <xf numFmtId="0" fontId="9" fillId="12" borderId="1" applyAlignment="1" pivotButton="0" quotePrefix="0" xfId="0">
      <alignment horizontal="right" vertical="center"/>
    </xf>
    <xf numFmtId="164" fontId="9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3" customWidth="1" min="3" max="3"/>
    <col width="10" customWidth="1" min="4" max="4"/>
    <col width="20" customWidth="1" min="5" max="5"/>
    <col width="10" customWidth="1" min="6" max="6"/>
    <col width="18" customWidth="1" min="7" max="7"/>
    <col width="12" customWidth="1" min="8" max="8"/>
    <col width="14" customWidth="1" min="9" max="9"/>
    <col width="16" customWidth="1" min="10" max="10"/>
    <col width="12" customWidth="1" min="11" max="11"/>
    <col width="16" customWidth="1" min="12" max="12"/>
    <col width="12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3" customWidth="1" min="19" max="19"/>
    <col width="14" customWidth="1" min="20" max="20"/>
    <col width="14" customWidth="1" min="21" max="21"/>
    <col width="15" customWidth="1" min="22" max="22"/>
    <col width="14" customWidth="1" min="23" max="23"/>
    <col width="40" customWidth="1" min="24" max="24"/>
  </cols>
  <sheetData>
    <row r="1" ht="22" customHeight="1">
      <c r="A1" s="1" t="inlineStr">
        <is>
          <t>DETALHAMENTO DE NFS-e  —  H L C PINHEIRO   - 48934877000186 —  04/2026 - REGIME: Simples Nacional EPP</t>
        </is>
      </c>
    </row>
    <row r="2" ht="18" customHeight="1">
      <c r="A2" s="2" t="inlineStr">
        <is>
          <t>TOMADOR</t>
        </is>
      </c>
      <c r="C2" s="3" t="inlineStr">
        <is>
          <t>DOCUMENTO</t>
        </is>
      </c>
      <c r="K2" s="4" t="inlineStr">
        <is>
          <t>ISS</t>
        </is>
      </c>
      <c r="O2" s="5" t="inlineStr">
        <is>
          <t>RETENÇÕES FEDERAIS</t>
        </is>
      </c>
      <c r="X2" s="6" t="inlineStr">
        <is>
          <t>NOTA</t>
        </is>
      </c>
    </row>
    <row r="3" ht="28" customHeight="1">
      <c r="A3" s="7" t="inlineStr">
        <is>
          <t>CNPJ</t>
        </is>
      </c>
      <c r="B3" s="7" t="inlineStr">
        <is>
          <t>CLIENTE</t>
        </is>
      </c>
      <c r="C3" s="7" t="inlineStr">
        <is>
          <t>EMISSÃO</t>
        </is>
      </c>
      <c r="D3" s="7" t="inlineStr">
        <is>
          <t>NÚMERO</t>
        </is>
      </c>
      <c r="E3" s="7" t="inlineStr">
        <is>
          <t>STATUS</t>
        </is>
      </c>
      <c r="F3" s="7" t="inlineStr">
        <is>
          <t>CNAE</t>
        </is>
      </c>
      <c r="G3" s="7" t="inlineStr">
        <is>
          <t>VALOR TOTAL NFSe</t>
        </is>
      </c>
      <c r="H3" s="7" t="inlineStr">
        <is>
          <t>DEDUÇÃO</t>
        </is>
      </c>
      <c r="I3" s="8" t="inlineStr">
        <is>
          <t>DESCONTOS
INCONDICIONADOS</t>
        </is>
      </c>
      <c r="J3" s="7" t="inlineStr">
        <is>
          <t>VALOR SERVIÇO</t>
        </is>
      </c>
      <c r="K3" s="7" t="inlineStr">
        <is>
          <t>ISS</t>
        </is>
      </c>
      <c r="L3" s="7" t="inlineStr">
        <is>
          <t>BASE DE CALCULO</t>
        </is>
      </c>
      <c r="M3" s="7" t="inlineStr">
        <is>
          <t>ALÍQUOTA</t>
        </is>
      </c>
      <c r="N3" s="7" t="inlineStr">
        <is>
          <t>VALOR ISS</t>
        </is>
      </c>
      <c r="O3" s="7" t="inlineStr">
        <is>
          <t>INSS</t>
        </is>
      </c>
      <c r="P3" s="7" t="inlineStr">
        <is>
          <t>IRRF</t>
        </is>
      </c>
      <c r="Q3" s="7" t="inlineStr">
        <is>
          <t>CSLL</t>
        </is>
      </c>
      <c r="R3" s="7" t="inlineStr">
        <is>
          <t>BASE PIS</t>
        </is>
      </c>
      <c r="S3" s="7" t="inlineStr">
        <is>
          <t>ALIQUOTA PIS</t>
        </is>
      </c>
      <c r="T3" s="7" t="inlineStr">
        <is>
          <t>PIS</t>
        </is>
      </c>
      <c r="U3" s="7" t="inlineStr">
        <is>
          <t>BASE COFINS</t>
        </is>
      </c>
      <c r="V3" s="7" t="inlineStr">
        <is>
          <t>ALIQUOTA COFINS</t>
        </is>
      </c>
      <c r="W3" s="7" t="inlineStr">
        <is>
          <t>COFINS</t>
        </is>
      </c>
      <c r="X3" s="7" t="inlineStr">
        <is>
          <t>CHAVE</t>
        </is>
      </c>
    </row>
    <row r="4" ht="15" customHeight="1">
      <c r="A4" s="9" t="inlineStr">
        <is>
          <t>71951099000155</t>
        </is>
      </c>
      <c r="B4" s="9" t="inlineStr">
        <is>
          <t>HOSPITAL INDEPENDENCIA ZONA LESTE LTDA</t>
        </is>
      </c>
      <c r="C4" s="10" t="inlineStr">
        <is>
          <t>05.04.2026</t>
        </is>
      </c>
      <c r="D4" s="10" t="inlineStr">
        <is>
          <t>4</t>
        </is>
      </c>
      <c r="E4" s="11" t="inlineStr">
        <is>
          <t>✓</t>
        </is>
      </c>
      <c r="F4" s="10" t="inlineStr">
        <is>
          <t>040101</t>
        </is>
      </c>
      <c r="G4" s="12" t="n">
        <v>4050</v>
      </c>
      <c r="H4" s="12" t="n">
        <v>0</v>
      </c>
      <c r="I4" s="12" t="n">
        <v>0</v>
      </c>
      <c r="J4" s="12" t="n">
        <v>4050</v>
      </c>
      <c r="K4" s="10" t="inlineStr">
        <is>
          <t>Não Retido</t>
        </is>
      </c>
      <c r="L4" s="12" t="n">
        <v>0</v>
      </c>
      <c r="M4" s="13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3" t="n">
        <v>0</v>
      </c>
      <c r="T4" s="12" t="n">
        <v>0</v>
      </c>
      <c r="U4" s="12" t="n">
        <v>0</v>
      </c>
      <c r="V4" s="13" t="n">
        <v>0</v>
      </c>
      <c r="W4" s="12" t="n">
        <v>0</v>
      </c>
      <c r="X4" s="14" t="inlineStr">
        <is>
          <t>21053022248934877000186000000000000426047038334665</t>
        </is>
      </c>
    </row>
    <row r="5" ht="18" customHeight="1">
      <c r="A5" s="15" t="inlineStr">
        <is>
          <t>TOTAL  |  Regular: 1  |  Canceladas: 0  |  Cancelamento em análise: 0</t>
        </is>
      </c>
      <c r="G5" s="16" t="n">
        <v>4050</v>
      </c>
      <c r="H5" s="17" t="inlineStr"/>
      <c r="I5" s="16">
        <f>SUMIFS(I4:I4,E4:E4,"&lt;&gt;*Cancelada*")</f>
        <v/>
      </c>
      <c r="J5" s="16" t="n">
        <v>4050</v>
      </c>
      <c r="K5" s="17" t="inlineStr"/>
      <c r="L5" s="16">
        <f>SUMIFS(L4:L4,E4:E4,"&lt;&gt;*Cancelada*")</f>
        <v/>
      </c>
      <c r="M5" s="17" t="inlineStr"/>
      <c r="N5" s="16">
        <f>SUMIFS(N4:N4,E4:E4,"&lt;&gt;*Cancelada*")</f>
        <v/>
      </c>
      <c r="O5" s="16">
        <f>SUMIFS(O4:O4,E4:E4,"&lt;&gt;*Cancelada*")</f>
        <v/>
      </c>
      <c r="P5" s="16">
        <f>SUMIFS(P4:P4,E4:E4,"&lt;&gt;*Cancelada*")</f>
        <v/>
      </c>
      <c r="Q5" s="16">
        <f>SUMIFS(Q4:Q4,E4:E4,"&lt;&gt;*Cancelada*")</f>
        <v/>
      </c>
      <c r="R5" s="16">
        <f>SUMIFS(R4:R4,E4:E4,"&lt;&gt;*Cancelada*")</f>
        <v/>
      </c>
      <c r="S5" s="17" t="inlineStr"/>
      <c r="T5" s="16">
        <f>SUMIFS(T4:T4,E4:E4,"&lt;&gt;*Cancelada*")</f>
        <v/>
      </c>
      <c r="U5" s="16">
        <f>SUMIFS(U4:U4,E4:E4,"&lt;&gt;*Cancelada*")</f>
        <v/>
      </c>
      <c r="V5" s="17" t="inlineStr"/>
      <c r="W5" s="16">
        <f>SUMIFS(W4:W4,E4:E4,"&lt;&gt;*Cancelada*")</f>
        <v/>
      </c>
      <c r="X5" s="17" t="inlineStr"/>
    </row>
    <row r="6">
      <c r="M6" s="18" t="inlineStr">
        <is>
          <t>Não Retido</t>
        </is>
      </c>
      <c r="N6" s="19">
        <f>SUMIFS(N4:N4,K4:K4,"Não Retido",E4:E4,"&lt;&gt;*Cancelada*")</f>
        <v/>
      </c>
    </row>
    <row r="7">
      <c r="M7" s="20" t="inlineStr">
        <is>
          <t>Retido</t>
        </is>
      </c>
      <c r="N7" s="21">
        <f>SUMIFS(N4:N4,K4:K4,"Retido",E4:E4,"&lt;&gt;*Cancelada*")</f>
        <v/>
      </c>
    </row>
  </sheetData>
  <autoFilter ref="A3:X3"/>
  <mergeCells count="7">
    <mergeCell ref="A2:B2"/>
    <mergeCell ref="A5:F5"/>
    <mergeCell ref="X2"/>
    <mergeCell ref="C2:J2"/>
    <mergeCell ref="K2:N2"/>
    <mergeCell ref="A1:X1"/>
    <mergeCell ref="O2:W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3" customWidth="1" min="3" max="3"/>
    <col width="10" customWidth="1" min="4" max="4"/>
    <col width="20" customWidth="1" min="5" max="5"/>
    <col width="10" customWidth="1" min="6" max="6"/>
    <col width="18" customWidth="1" min="7" max="7"/>
    <col width="12" customWidth="1" min="8" max="8"/>
    <col width="14" customWidth="1" min="9" max="9"/>
    <col width="16" customWidth="1" min="10" max="10"/>
    <col width="12" customWidth="1" min="11" max="11"/>
    <col width="16" customWidth="1" min="12" max="12"/>
    <col width="12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3" customWidth="1" min="19" max="19"/>
    <col width="14" customWidth="1" min="20" max="20"/>
    <col width="14" customWidth="1" min="21" max="21"/>
    <col width="15" customWidth="1" min="22" max="22"/>
    <col width="14" customWidth="1" min="23" max="23"/>
    <col width="40" customWidth="1" min="24" max="24"/>
  </cols>
  <sheetData>
    <row r="1" ht="22" customHeight="1">
      <c r="A1" s="1" t="inlineStr">
        <is>
          <t>DETALHAMENTO DE NFS-e  —  H L C PINHEIRO   —  04/2026 - REGIME: Simples Nacional EPP</t>
        </is>
      </c>
    </row>
    <row r="2" ht="18" customHeight="1">
      <c r="A2" s="2" t="inlineStr">
        <is>
          <t>PRESTADOR</t>
        </is>
      </c>
      <c r="C2" s="3" t="inlineStr">
        <is>
          <t>DOCUMENTO</t>
        </is>
      </c>
      <c r="K2" s="4" t="inlineStr">
        <is>
          <t>ISS</t>
        </is>
      </c>
      <c r="O2" s="5" t="inlineStr">
        <is>
          <t>RETENÇÕES FEDERAIS</t>
        </is>
      </c>
      <c r="X2" s="6" t="inlineStr">
        <is>
          <t>NOTA</t>
        </is>
      </c>
    </row>
    <row r="3" ht="28" customHeight="1">
      <c r="A3" s="7" t="inlineStr">
        <is>
          <t>CNPJ</t>
        </is>
      </c>
      <c r="B3" s="7" t="inlineStr">
        <is>
          <t>PRESTADOR</t>
        </is>
      </c>
      <c r="C3" s="7" t="inlineStr">
        <is>
          <t>EMISSÃO</t>
        </is>
      </c>
      <c r="D3" s="7" t="inlineStr">
        <is>
          <t>NÚMERO</t>
        </is>
      </c>
      <c r="E3" s="7" t="inlineStr">
        <is>
          <t>STATUS</t>
        </is>
      </c>
      <c r="F3" s="7" t="inlineStr">
        <is>
          <t>CNAE</t>
        </is>
      </c>
      <c r="G3" s="7" t="inlineStr">
        <is>
          <t>VALOR TOTAL NFSe</t>
        </is>
      </c>
      <c r="H3" s="7" t="inlineStr">
        <is>
          <t>DEDUÇÃO</t>
        </is>
      </c>
      <c r="I3" s="8" t="inlineStr">
        <is>
          <t>DESCONTOS
INCONDICIONADOS</t>
        </is>
      </c>
      <c r="J3" s="7" t="inlineStr">
        <is>
          <t>VALOR SERVIÇO</t>
        </is>
      </c>
      <c r="K3" s="7" t="inlineStr">
        <is>
          <t>ISS</t>
        </is>
      </c>
      <c r="L3" s="7" t="inlineStr">
        <is>
          <t>BASE DE CALCULO</t>
        </is>
      </c>
      <c r="M3" s="7" t="inlineStr">
        <is>
          <t>ALÍQUOTA</t>
        </is>
      </c>
      <c r="N3" s="7" t="inlineStr">
        <is>
          <t>VALOR ISS</t>
        </is>
      </c>
      <c r="O3" s="7" t="inlineStr">
        <is>
          <t>INSS</t>
        </is>
      </c>
      <c r="P3" s="7" t="inlineStr">
        <is>
          <t>IRRF</t>
        </is>
      </c>
      <c r="Q3" s="7" t="inlineStr">
        <is>
          <t>CSLL</t>
        </is>
      </c>
      <c r="R3" s="7" t="inlineStr">
        <is>
          <t>BASE PIS</t>
        </is>
      </c>
      <c r="S3" s="7" t="inlineStr">
        <is>
          <t>ALIQUOTA PIS</t>
        </is>
      </c>
      <c r="T3" s="7" t="inlineStr">
        <is>
          <t>PIS</t>
        </is>
      </c>
      <c r="U3" s="7" t="inlineStr">
        <is>
          <t>BASE COFINS</t>
        </is>
      </c>
      <c r="V3" s="7" t="inlineStr">
        <is>
          <t>ALIQUOTA COFINS</t>
        </is>
      </c>
      <c r="W3" s="7" t="inlineStr">
        <is>
          <t>COFINS</t>
        </is>
      </c>
      <c r="X3" s="7" t="inlineStr">
        <is>
          <t>CHAVE</t>
        </is>
      </c>
    </row>
    <row r="4" ht="18" customHeight="1">
      <c r="A4" s="15" t="inlineStr">
        <is>
          <t>TOTAL  |  Regular: 0  |  Canceladas: 0  |  Cancelamento em análise: 0</t>
        </is>
      </c>
      <c r="G4" s="16" t="n">
        <v>0</v>
      </c>
      <c r="H4" s="17" t="inlineStr"/>
      <c r="I4" s="16">
        <f>SUMIFS(I4:I3,E4:E3,"&lt;&gt;*Cancelada*")</f>
        <v/>
      </c>
      <c r="J4" s="16" t="n">
        <v>0</v>
      </c>
      <c r="K4" s="17" t="inlineStr"/>
      <c r="L4" s="16">
        <f>SUMIFS(L4:L3,E4:E3,"&lt;&gt;*Cancelada*")</f>
        <v/>
      </c>
      <c r="M4" s="17" t="inlineStr"/>
      <c r="N4" s="16">
        <f>SUMIFS(N4:N3,E4:E3,"&lt;&gt;*Cancelada*")</f>
        <v/>
      </c>
      <c r="O4" s="16">
        <f>SUMIFS(O4:O3,E4:E3,"&lt;&gt;*Cancelada*")</f>
        <v/>
      </c>
      <c r="P4" s="16">
        <f>SUMIFS(P4:P3,E4:E3,"&lt;&gt;*Cancelada*")</f>
        <v/>
      </c>
      <c r="Q4" s="16">
        <f>SUMIFS(Q4:Q3,E4:E3,"&lt;&gt;*Cancelada*")</f>
        <v/>
      </c>
      <c r="R4" s="16">
        <f>SUMIFS(R4:R3,E4:E3,"&lt;&gt;*Cancelada*")</f>
        <v/>
      </c>
      <c r="S4" s="17" t="inlineStr"/>
      <c r="T4" s="16">
        <f>SUMIFS(T4:T3,E4:E3,"&lt;&gt;*Cancelada*")</f>
        <v/>
      </c>
      <c r="U4" s="16">
        <f>SUMIFS(U4:U3,E4:E3,"&lt;&gt;*Cancelada*")</f>
        <v/>
      </c>
      <c r="V4" s="17" t="inlineStr"/>
      <c r="W4" s="16">
        <f>SUMIFS(W4:W3,E4:E3,"&lt;&gt;*Cancelada*")</f>
        <v/>
      </c>
      <c r="X4" s="17" t="inlineStr"/>
    </row>
    <row r="5">
      <c r="M5" s="18" t="inlineStr">
        <is>
          <t>Não Retido</t>
        </is>
      </c>
      <c r="N5" s="19">
        <f>SUMIFS(N4:N3,K4:K3,"Não Retido",E4:E3,"&lt;&gt;*Cancelada*")</f>
        <v/>
      </c>
    </row>
    <row r="6">
      <c r="M6" s="20" t="inlineStr">
        <is>
          <t>Retido</t>
        </is>
      </c>
      <c r="N6" s="21">
        <f>SUMIFS(N4:N3,K4:K3,"Retido",E4:E3,"&lt;&gt;*Cancelada*")</f>
        <v/>
      </c>
    </row>
  </sheetData>
  <autoFilter ref="A3:X3"/>
  <mergeCells count="7">
    <mergeCell ref="A2:B2"/>
    <mergeCell ref="X2"/>
    <mergeCell ref="C2:J2"/>
    <mergeCell ref="K2:N2"/>
    <mergeCell ref="A1:X1"/>
    <mergeCell ref="A4:F4"/>
    <mergeCell ref="O2:W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2026-05-18T20:17:05Z</dcterms:created>
  <dcterms:modified xmlns:dcterms="http://purl.org/dc/terms/" xmlns:xsi="http://www.w3.org/2001/XMLSchema-instance" xsi:type="dcterms:W3CDTF">2026-05-18T20:17:05Z</dcterms:modified>
</cp:coreProperties>
</file>