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2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NILVAN  - 13394882000169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31499173000120</t>
        </is>
      </c>
      <c r="B4" s="9" t="inlineStr">
        <is>
          <t>I. F. MARINHO</t>
        </is>
      </c>
      <c r="C4" s="10" t="inlineStr">
        <is>
          <t>13.04.2026</t>
        </is>
      </c>
      <c r="D4" s="10" t="inlineStr">
        <is>
          <t>2</t>
        </is>
      </c>
      <c r="E4" s="11" t="inlineStr">
        <is>
          <t>✓</t>
        </is>
      </c>
      <c r="F4" s="10" t="inlineStr">
        <is>
          <t>140601</t>
        </is>
      </c>
      <c r="G4" s="12" t="n">
        <v>520</v>
      </c>
      <c r="H4" s="12" t="n">
        <v>0</v>
      </c>
      <c r="I4" s="12" t="n">
        <v>0</v>
      </c>
      <c r="J4" s="12" t="n">
        <v>520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21053022213394882000169000000000000226042517757704</t>
        </is>
      </c>
    </row>
    <row r="5" ht="15" customHeight="1">
      <c r="A5" s="15" t="inlineStr">
        <is>
          <t>34316305000129</t>
        </is>
      </c>
      <c r="B5" s="15" t="inlineStr">
        <is>
          <t>CLINICA MARIANA QUEIROGA LTDA</t>
        </is>
      </c>
      <c r="C5" s="16" t="inlineStr">
        <is>
          <t>20.04.2026</t>
        </is>
      </c>
      <c r="D5" s="16" t="inlineStr">
        <is>
          <t>3</t>
        </is>
      </c>
      <c r="E5" s="11" t="inlineStr">
        <is>
          <t>✓</t>
        </is>
      </c>
      <c r="F5" s="16" t="inlineStr">
        <is>
          <t>140101</t>
        </is>
      </c>
      <c r="G5" s="17" t="n">
        <v>360</v>
      </c>
      <c r="H5" s="17" t="n">
        <v>0</v>
      </c>
      <c r="I5" s="17" t="n">
        <v>0</v>
      </c>
      <c r="J5" s="17" t="n">
        <v>360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21053022213394882000169000000000000326045230662692</t>
        </is>
      </c>
    </row>
    <row r="6" ht="18" customHeight="1">
      <c r="A6" s="20" t="inlineStr">
        <is>
          <t>TOTAL  |  Regular: 2  |  Canceladas: 0  |  Cancelamento em análise: 0</t>
        </is>
      </c>
      <c r="G6" s="21" t="n">
        <v>880</v>
      </c>
      <c r="H6" s="22" t="inlineStr"/>
      <c r="I6" s="21">
        <f>SUMIFS(I4:I5,E4:E5,"&lt;&gt;*Cancelada*")</f>
        <v/>
      </c>
      <c r="J6" s="21" t="n">
        <v>880</v>
      </c>
      <c r="K6" s="22" t="inlineStr"/>
      <c r="L6" s="21">
        <f>SUMIFS(L4:L5,E4:E5,"&lt;&gt;*Cancelada*")</f>
        <v/>
      </c>
      <c r="M6" s="22" t="inlineStr"/>
      <c r="N6" s="21">
        <f>SUMIFS(N4:N5,E4:E5,"&lt;&gt;*Cancelada*")</f>
        <v/>
      </c>
      <c r="O6" s="21">
        <f>SUMIFS(O4:O5,E4:E5,"&lt;&gt;*Cancelada*")</f>
        <v/>
      </c>
      <c r="P6" s="21">
        <f>SUMIFS(P4:P5,E4:E5,"&lt;&gt;*Cancelada*")</f>
        <v/>
      </c>
      <c r="Q6" s="21">
        <f>SUMIFS(Q4:Q5,E4:E5,"&lt;&gt;*Cancelada*")</f>
        <v/>
      </c>
      <c r="R6" s="21">
        <f>SUMIFS(R4:R5,E4:E5,"&lt;&gt;*Cancelada*")</f>
        <v/>
      </c>
      <c r="S6" s="22" t="inlineStr"/>
      <c r="T6" s="21">
        <f>SUMIFS(T4:T5,E4:E5,"&lt;&gt;*Cancelada*")</f>
        <v/>
      </c>
      <c r="U6" s="21">
        <f>SUMIFS(U4:U5,E4:E5,"&lt;&gt;*Cancelada*")</f>
        <v/>
      </c>
      <c r="V6" s="22" t="inlineStr"/>
      <c r="W6" s="21">
        <f>SUMIFS(W4:W5,E4:E5,"&lt;&gt;*Cancelada*")</f>
        <v/>
      </c>
      <c r="X6" s="22" t="inlineStr"/>
    </row>
    <row r="7">
      <c r="M7" s="23" t="inlineStr">
        <is>
          <t>Não Retido</t>
        </is>
      </c>
      <c r="N7" s="24">
        <f>SUMIFS(N4:N5,K4:K5,"Não Retido",E4:E5,"&lt;&gt;*Cancelada*")</f>
        <v/>
      </c>
    </row>
    <row r="8">
      <c r="M8" s="25" t="inlineStr">
        <is>
          <t>Retido</t>
        </is>
      </c>
      <c r="N8" s="26">
        <f>SUMIFS(N4:N5,K4:K5,"Retido",E4:E5,"&lt;&gt;*Cancelada*")</f>
        <v/>
      </c>
    </row>
  </sheetData>
  <autoFilter ref="A3:X3"/>
  <mergeCells count="7">
    <mergeCell ref="A2:B2"/>
    <mergeCell ref="X2"/>
    <mergeCell ref="C2:J2"/>
    <mergeCell ref="A6:F6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NILVAN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20" t="inlineStr">
        <is>
          <t>TOTAL  |  Regular: 0  |  Canceladas: 0  |  Cancelamento em análise: 0</t>
        </is>
      </c>
      <c r="G4" s="21" t="n">
        <v>0</v>
      </c>
      <c r="H4" s="22" t="inlineStr"/>
      <c r="I4" s="21">
        <f>SUMIFS(I4:I3,E4:E3,"&lt;&gt;*Cancelada*")</f>
        <v/>
      </c>
      <c r="J4" s="21" t="n">
        <v>0</v>
      </c>
      <c r="K4" s="22" t="inlineStr"/>
      <c r="L4" s="21">
        <f>SUMIFS(L4:L3,E4:E3,"&lt;&gt;*Cancelada*")</f>
        <v/>
      </c>
      <c r="M4" s="22" t="inlineStr"/>
      <c r="N4" s="21">
        <f>SUMIFS(N4:N3,E4:E3,"&lt;&gt;*Cancelada*")</f>
        <v/>
      </c>
      <c r="O4" s="21">
        <f>SUMIFS(O4:O3,E4:E3,"&lt;&gt;*Cancelada*")</f>
        <v/>
      </c>
      <c r="P4" s="21">
        <f>SUMIFS(P4:P3,E4:E3,"&lt;&gt;*Cancelada*")</f>
        <v/>
      </c>
      <c r="Q4" s="21">
        <f>SUMIFS(Q4:Q3,E4:E3,"&lt;&gt;*Cancelada*")</f>
        <v/>
      </c>
      <c r="R4" s="21">
        <f>SUMIFS(R4:R3,E4:E3,"&lt;&gt;*Cancelada*")</f>
        <v/>
      </c>
      <c r="S4" s="22" t="inlineStr"/>
      <c r="T4" s="21">
        <f>SUMIFS(T4:T3,E4:E3,"&lt;&gt;*Cancelada*")</f>
        <v/>
      </c>
      <c r="U4" s="21">
        <f>SUMIFS(U4:U3,E4:E3,"&lt;&gt;*Cancelada*")</f>
        <v/>
      </c>
      <c r="V4" s="22" t="inlineStr"/>
      <c r="W4" s="21">
        <f>SUMIFS(W4:W3,E4:E3,"&lt;&gt;*Cancelada*")</f>
        <v/>
      </c>
      <c r="X4" s="22" t="inlineStr"/>
    </row>
    <row r="5">
      <c r="M5" s="23" t="inlineStr">
        <is>
          <t>Não Retido</t>
        </is>
      </c>
      <c r="N5" s="24">
        <f>SUMIFS(N4:N3,K4:K3,"Não Retido",E4:E3,"&lt;&gt;*Cancelada*")</f>
        <v/>
      </c>
    </row>
    <row r="6">
      <c r="M6" s="25" t="inlineStr">
        <is>
          <t>Retido</t>
        </is>
      </c>
      <c r="N6" s="26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2026-05-18T20:21:58Z</dcterms:created>
  <dcterms:modified xmlns:dcterms="http://purl.org/dc/terms/" xmlns:xsi="http://www.w3.org/2001/XMLSchema-instance" xsi:type="dcterms:W3CDTF">2026-05-18T20:21:58Z</dcterms:modified>
</cp:coreProperties>
</file>