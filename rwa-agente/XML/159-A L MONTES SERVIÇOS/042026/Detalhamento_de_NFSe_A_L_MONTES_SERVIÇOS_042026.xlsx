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DO" sheetId="1" state="visible" r:id="rId1"/>
    <sheet xmlns:r="http://schemas.openxmlformats.org/officeDocument/2006/relationships" name="TOMADO" sheetId="2" state="visible" r:id="rId2"/>
  </sheets>
  <definedNames>
    <definedName name="_xlnm._FilterDatabase" localSheetId="0" hidden="1">'PRESTADO'!$A$3:$X$3</definedName>
    <definedName name="_xlnm._FilterDatabase" localSheetId="1" hidden="1">'TOMADO'!$A$3:$X$3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10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b val="1"/>
      <color rgb="FFFFFFFF"/>
      <sz val="9"/>
    </font>
    <font>
      <name val="Calibri"/>
      <b val="1"/>
      <color rgb="FFFFFFFF"/>
      <sz val="8"/>
    </font>
    <font>
      <name val="Calibri"/>
      <color rgb="FF000000"/>
      <sz val="9"/>
    </font>
    <font>
      <name val="Calibri"/>
      <color rgb="FF000000"/>
      <sz val="8"/>
    </font>
    <font>
      <name val="Calibri"/>
      <b val="1"/>
      <color rgb="FF1E8449"/>
      <sz val="10"/>
    </font>
    <font>
      <name val="Calibri"/>
      <b val="1"/>
      <color rgb="FF000000"/>
      <sz val="10"/>
    </font>
    <font>
      <name val="Calibri"/>
      <b val="1"/>
      <color rgb="FFC0392B"/>
      <sz val="10"/>
    </font>
  </fonts>
  <fills count="1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2E75B6"/>
      </patternFill>
    </fill>
    <fill>
      <patternFill patternType="solid">
        <fgColor rgb="FF1F6B75"/>
      </patternFill>
    </fill>
    <fill>
      <patternFill patternType="solid">
        <fgColor rgb="FF6C3483"/>
      </patternFill>
    </fill>
    <fill>
      <patternFill patternType="solid">
        <fgColor rgb="FF1A5276"/>
      </patternFill>
    </fill>
    <fill>
      <patternFill patternType="solid">
        <fgColor rgb="FF7D6608"/>
      </patternFill>
    </fill>
    <fill>
      <patternFill patternType="solid">
        <fgColor rgb="FF2E86C1"/>
      </patternFill>
    </fill>
    <fill>
      <patternFill patternType="solid">
        <fgColor rgb="FFF4F6F7"/>
      </patternFill>
    </fill>
    <fill>
      <patternFill patternType="solid">
        <fgColor rgb="FFD5F5E3"/>
      </patternFill>
    </fill>
    <fill>
      <patternFill patternType="solid">
        <fgColor rgb="FFEBF5FB"/>
      </patternFill>
    </fill>
    <fill>
      <patternFill patternType="solid">
        <fgColor rgb="FFF9E79F"/>
      </patternFill>
    </fill>
    <fill>
      <patternFill patternType="solid">
        <fgColor rgb="FFFADBD8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164" fontId="5" fillId="9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center" vertical="center"/>
    </xf>
    <xf numFmtId="164" fontId="5" fillId="11" borderId="1" applyAlignment="1" pivotButton="0" quotePrefix="0" xfId="0">
      <alignment horizontal="right" vertical="center"/>
    </xf>
    <xf numFmtId="165" fontId="5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0" fontId="0" fillId="12" borderId="1" pivotButton="0" quotePrefix="0" xfId="0"/>
    <xf numFmtId="0" fontId="7" fillId="10" borderId="1" applyAlignment="1" pivotButton="0" quotePrefix="0" xfId="0">
      <alignment horizontal="right" vertical="center"/>
    </xf>
    <xf numFmtId="164" fontId="7" fillId="10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right" vertical="center"/>
    </xf>
    <xf numFmtId="164" fontId="9" fillId="1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A L MONTES SERVIÇOS  - 58744901000178 —  04/2026 - REGIME: Simples Nacional EPP</t>
        </is>
      </c>
    </row>
    <row r="2" ht="18" customHeight="1">
      <c r="A2" s="2" t="inlineStr">
        <is>
          <t>TOMADOR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CLIENTE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5" customHeight="1">
      <c r="A4" s="9" t="inlineStr">
        <is>
          <t>07361082000149</t>
        </is>
      </c>
      <c r="B4" s="9" t="inlineStr">
        <is>
          <t>TOCAUTO CAMINHOES LTDA</t>
        </is>
      </c>
      <c r="C4" s="10" t="inlineStr">
        <is>
          <t>02.04.2026</t>
        </is>
      </c>
      <c r="D4" s="10" t="inlineStr">
        <is>
          <t>24</t>
        </is>
      </c>
      <c r="E4" s="11" t="inlineStr">
        <is>
          <t>✓</t>
        </is>
      </c>
      <c r="F4" s="10" t="inlineStr">
        <is>
          <t>140101</t>
        </is>
      </c>
      <c r="G4" s="12" t="n">
        <v>350</v>
      </c>
      <c r="H4" s="12" t="n">
        <v>0</v>
      </c>
      <c r="I4" s="12" t="n">
        <v>0</v>
      </c>
      <c r="J4" s="12" t="n">
        <v>350</v>
      </c>
      <c r="K4" s="10" t="inlineStr">
        <is>
          <t>Não Retido</t>
        </is>
      </c>
      <c r="L4" s="12" t="n">
        <v>0</v>
      </c>
      <c r="M4" s="13" t="n">
        <v>0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3" t="n">
        <v>0</v>
      </c>
      <c r="T4" s="12" t="n">
        <v>0</v>
      </c>
      <c r="U4" s="12" t="n">
        <v>0</v>
      </c>
      <c r="V4" s="13" t="n">
        <v>0</v>
      </c>
      <c r="W4" s="12" t="n">
        <v>0</v>
      </c>
      <c r="X4" s="14" t="inlineStr">
        <is>
          <t>21053022258744901000178000000000002426040088592693</t>
        </is>
      </c>
    </row>
    <row r="5" ht="15" customHeight="1">
      <c r="A5" s="15" t="inlineStr">
        <is>
          <t>05751961000151</t>
        </is>
      </c>
      <c r="B5" s="15" t="inlineStr">
        <is>
          <t>CESP CERAMICA SAO PEDRO LTDA</t>
        </is>
      </c>
      <c r="C5" s="16" t="inlineStr">
        <is>
          <t>02.04.2026</t>
        </is>
      </c>
      <c r="D5" s="16" t="inlineStr">
        <is>
          <t>23</t>
        </is>
      </c>
      <c r="E5" s="11" t="inlineStr">
        <is>
          <t>✓</t>
        </is>
      </c>
      <c r="F5" s="16" t="inlineStr">
        <is>
          <t>140101</t>
        </is>
      </c>
      <c r="G5" s="17" t="n">
        <v>1180</v>
      </c>
      <c r="H5" s="17" t="n">
        <v>0</v>
      </c>
      <c r="I5" s="17" t="n">
        <v>0</v>
      </c>
      <c r="J5" s="17" t="n">
        <v>1180</v>
      </c>
      <c r="K5" s="16" t="inlineStr">
        <is>
          <t>Não Retido</t>
        </is>
      </c>
      <c r="L5" s="17" t="n">
        <v>0</v>
      </c>
      <c r="M5" s="18" t="n">
        <v>0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8" t="n">
        <v>0</v>
      </c>
      <c r="T5" s="17" t="n">
        <v>0</v>
      </c>
      <c r="U5" s="17" t="n">
        <v>0</v>
      </c>
      <c r="V5" s="18" t="n">
        <v>0</v>
      </c>
      <c r="W5" s="17" t="n">
        <v>0</v>
      </c>
      <c r="X5" s="19" t="inlineStr">
        <is>
          <t>21053022258744901000178000000000002326046674117218</t>
        </is>
      </c>
    </row>
    <row r="6" ht="15" customHeight="1">
      <c r="A6" s="9" t="inlineStr">
        <is>
          <t>37501287000143</t>
        </is>
      </c>
      <c r="B6" s="9" t="inlineStr">
        <is>
          <t>AL TRANSPORTES LTDA</t>
        </is>
      </c>
      <c r="C6" s="10" t="inlineStr">
        <is>
          <t>07.04.2026</t>
        </is>
      </c>
      <c r="D6" s="10" t="inlineStr">
        <is>
          <t>27</t>
        </is>
      </c>
      <c r="E6" s="11" t="inlineStr">
        <is>
          <t>✓</t>
        </is>
      </c>
      <c r="F6" s="10" t="inlineStr">
        <is>
          <t>140101</t>
        </is>
      </c>
      <c r="G6" s="12" t="n">
        <v>250</v>
      </c>
      <c r="H6" s="12" t="n">
        <v>0</v>
      </c>
      <c r="I6" s="12" t="n">
        <v>0</v>
      </c>
      <c r="J6" s="12" t="n">
        <v>250</v>
      </c>
      <c r="K6" s="10" t="inlineStr">
        <is>
          <t>Não Retido</t>
        </is>
      </c>
      <c r="L6" s="12" t="n">
        <v>0</v>
      </c>
      <c r="M6" s="13" t="n">
        <v>0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3" t="n">
        <v>0</v>
      </c>
      <c r="T6" s="12" t="n">
        <v>0</v>
      </c>
      <c r="U6" s="12" t="n">
        <v>0</v>
      </c>
      <c r="V6" s="13" t="n">
        <v>0</v>
      </c>
      <c r="W6" s="12" t="n">
        <v>0</v>
      </c>
      <c r="X6" s="14" t="inlineStr">
        <is>
          <t>21053022258744901000178000000000002726045260887805</t>
        </is>
      </c>
    </row>
    <row r="7" ht="15" customHeight="1">
      <c r="A7" s="15" t="inlineStr">
        <is>
          <t>37501287000143</t>
        </is>
      </c>
      <c r="B7" s="15" t="inlineStr">
        <is>
          <t>AL TRANSPORTES LTDA</t>
        </is>
      </c>
      <c r="C7" s="16" t="inlineStr">
        <is>
          <t>07.04.2026</t>
        </is>
      </c>
      <c r="D7" s="16" t="inlineStr">
        <is>
          <t>26</t>
        </is>
      </c>
      <c r="E7" s="11" t="inlineStr">
        <is>
          <t>✓</t>
        </is>
      </c>
      <c r="F7" s="16" t="inlineStr">
        <is>
          <t>140101</t>
        </is>
      </c>
      <c r="G7" s="17" t="n">
        <v>550</v>
      </c>
      <c r="H7" s="17" t="n">
        <v>0</v>
      </c>
      <c r="I7" s="17" t="n">
        <v>0</v>
      </c>
      <c r="J7" s="17" t="n">
        <v>550</v>
      </c>
      <c r="K7" s="16" t="inlineStr">
        <is>
          <t>Não Retido</t>
        </is>
      </c>
      <c r="L7" s="17" t="n">
        <v>0</v>
      </c>
      <c r="M7" s="18" t="n">
        <v>0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8" t="n">
        <v>0</v>
      </c>
      <c r="T7" s="17" t="n">
        <v>0</v>
      </c>
      <c r="U7" s="17" t="n">
        <v>0</v>
      </c>
      <c r="V7" s="18" t="n">
        <v>0</v>
      </c>
      <c r="W7" s="17" t="n">
        <v>0</v>
      </c>
      <c r="X7" s="19" t="inlineStr">
        <is>
          <t>21053022258744901000178000000000002626044455674736</t>
        </is>
      </c>
    </row>
    <row r="8" ht="15" customHeight="1">
      <c r="A8" s="9" t="inlineStr">
        <is>
          <t>07361082000149</t>
        </is>
      </c>
      <c r="B8" s="9" t="inlineStr">
        <is>
          <t>TOCAUTO CAMINHOES LTDA</t>
        </is>
      </c>
      <c r="C8" s="10" t="inlineStr">
        <is>
          <t>07.04.2026</t>
        </is>
      </c>
      <c r="D8" s="10" t="inlineStr">
        <is>
          <t>25</t>
        </is>
      </c>
      <c r="E8" s="11" t="inlineStr">
        <is>
          <t>✓</t>
        </is>
      </c>
      <c r="F8" s="10" t="inlineStr">
        <is>
          <t>140101</t>
        </is>
      </c>
      <c r="G8" s="12" t="n">
        <v>350</v>
      </c>
      <c r="H8" s="12" t="n">
        <v>0</v>
      </c>
      <c r="I8" s="12" t="n">
        <v>0</v>
      </c>
      <c r="J8" s="12" t="n">
        <v>350</v>
      </c>
      <c r="K8" s="10" t="inlineStr">
        <is>
          <t>Não Retido</t>
        </is>
      </c>
      <c r="L8" s="12" t="n">
        <v>0</v>
      </c>
      <c r="M8" s="13" t="n">
        <v>0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3" t="n">
        <v>0</v>
      </c>
      <c r="T8" s="12" t="n">
        <v>0</v>
      </c>
      <c r="U8" s="12" t="n">
        <v>0</v>
      </c>
      <c r="V8" s="13" t="n">
        <v>0</v>
      </c>
      <c r="W8" s="12" t="n">
        <v>0</v>
      </c>
      <c r="X8" s="14" t="inlineStr">
        <is>
          <t>21053022258744901000178000000000002526047216683093</t>
        </is>
      </c>
    </row>
    <row r="9" ht="15" customHeight="1">
      <c r="A9" s="15" t="inlineStr">
        <is>
          <t>16577642000198</t>
        </is>
      </c>
      <c r="B9" s="15" t="inlineStr">
        <is>
          <t>SEBOMINAS TRANSPORTE E LOGISTICA LTDA  EM RECUPERACAO JUDICIAL</t>
        </is>
      </c>
      <c r="C9" s="16" t="inlineStr">
        <is>
          <t>08.04.2026</t>
        </is>
      </c>
      <c r="D9" s="16" t="inlineStr">
        <is>
          <t>28</t>
        </is>
      </c>
      <c r="E9" s="11" t="inlineStr">
        <is>
          <t>✓</t>
        </is>
      </c>
      <c r="F9" s="16" t="inlineStr">
        <is>
          <t>140101</t>
        </is>
      </c>
      <c r="G9" s="17" t="n">
        <v>1500</v>
      </c>
      <c r="H9" s="17" t="n">
        <v>0</v>
      </c>
      <c r="I9" s="17" t="n">
        <v>0</v>
      </c>
      <c r="J9" s="17" t="n">
        <v>1500</v>
      </c>
      <c r="K9" s="16" t="inlineStr">
        <is>
          <t>Não Retido</t>
        </is>
      </c>
      <c r="L9" s="17" t="n">
        <v>0</v>
      </c>
      <c r="M9" s="18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8" t="n">
        <v>0</v>
      </c>
      <c r="T9" s="17" t="n">
        <v>0</v>
      </c>
      <c r="U9" s="17" t="n">
        <v>0</v>
      </c>
      <c r="V9" s="18" t="n">
        <v>0</v>
      </c>
      <c r="W9" s="17" t="n">
        <v>0</v>
      </c>
      <c r="X9" s="19" t="inlineStr">
        <is>
          <t>21053022258744901000178000000000002826048208166769</t>
        </is>
      </c>
    </row>
    <row r="10" ht="15" customHeight="1">
      <c r="A10" s="9" t="inlineStr">
        <is>
          <t>00130790000120</t>
        </is>
      </c>
      <c r="B10" s="9" t="inlineStr">
        <is>
          <t>P C M COMERCIO E REPRESENTACOES LTDA</t>
        </is>
      </c>
      <c r="C10" s="10" t="inlineStr">
        <is>
          <t>09.04.2026</t>
        </is>
      </c>
      <c r="D10" s="10" t="inlineStr">
        <is>
          <t>29</t>
        </is>
      </c>
      <c r="E10" s="11" t="inlineStr">
        <is>
          <t>✓</t>
        </is>
      </c>
      <c r="F10" s="10" t="inlineStr">
        <is>
          <t>140101</t>
        </is>
      </c>
      <c r="G10" s="12" t="n">
        <v>1150</v>
      </c>
      <c r="H10" s="12" t="n">
        <v>0</v>
      </c>
      <c r="I10" s="12" t="n">
        <v>0</v>
      </c>
      <c r="J10" s="12" t="n">
        <v>1150</v>
      </c>
      <c r="K10" s="10" t="inlineStr">
        <is>
          <t>Não Retido</t>
        </is>
      </c>
      <c r="L10" s="12" t="n">
        <v>0</v>
      </c>
      <c r="M10" s="13" t="n">
        <v>0</v>
      </c>
      <c r="N10" s="12" t="n">
        <v>0</v>
      </c>
      <c r="O10" s="12" t="n">
        <v>0</v>
      </c>
      <c r="P10" s="12" t="n">
        <v>0</v>
      </c>
      <c r="Q10" s="12" t="n">
        <v>0</v>
      </c>
      <c r="R10" s="12" t="n">
        <v>0</v>
      </c>
      <c r="S10" s="13" t="n">
        <v>0</v>
      </c>
      <c r="T10" s="12" t="n">
        <v>0</v>
      </c>
      <c r="U10" s="12" t="n">
        <v>0</v>
      </c>
      <c r="V10" s="13" t="n">
        <v>0</v>
      </c>
      <c r="W10" s="12" t="n">
        <v>0</v>
      </c>
      <c r="X10" s="14" t="inlineStr">
        <is>
          <t>21053022258744901000178000000000002926047482943330</t>
        </is>
      </c>
    </row>
    <row r="11" ht="15" customHeight="1">
      <c r="A11" s="15" t="inlineStr">
        <is>
          <t>16577642000198</t>
        </is>
      </c>
      <c r="B11" s="15" t="inlineStr">
        <is>
          <t>SEBOMINAS TRANSPORTE E LOGISTICA LTDA  EM RECUPERACAO JUDICIAL</t>
        </is>
      </c>
      <c r="C11" s="16" t="inlineStr">
        <is>
          <t>13.04.2026</t>
        </is>
      </c>
      <c r="D11" s="16" t="inlineStr">
        <is>
          <t>30</t>
        </is>
      </c>
      <c r="E11" s="11" t="inlineStr">
        <is>
          <t>✓</t>
        </is>
      </c>
      <c r="F11" s="16" t="inlineStr">
        <is>
          <t>140101</t>
        </is>
      </c>
      <c r="G11" s="17" t="n">
        <v>780</v>
      </c>
      <c r="H11" s="17" t="n">
        <v>0</v>
      </c>
      <c r="I11" s="17" t="n">
        <v>0</v>
      </c>
      <c r="J11" s="17" t="n">
        <v>780</v>
      </c>
      <c r="K11" s="16" t="inlineStr">
        <is>
          <t>Não Retido</t>
        </is>
      </c>
      <c r="L11" s="17" t="n">
        <v>0</v>
      </c>
      <c r="M11" s="18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8" t="n">
        <v>0</v>
      </c>
      <c r="T11" s="17" t="n">
        <v>0</v>
      </c>
      <c r="U11" s="17" t="n">
        <v>0</v>
      </c>
      <c r="V11" s="18" t="n">
        <v>0</v>
      </c>
      <c r="W11" s="17" t="n">
        <v>0</v>
      </c>
      <c r="X11" s="19" t="inlineStr">
        <is>
          <t>21053022258744901000178000000000003026040003446652</t>
        </is>
      </c>
    </row>
    <row r="12" ht="15" customHeight="1">
      <c r="A12" s="9" t="inlineStr">
        <is>
          <t>16577642000198</t>
        </is>
      </c>
      <c r="B12" s="9" t="inlineStr">
        <is>
          <t>SEBOMINAS TRANSPORTE E LOGISTICA LTDA  EM RECUPERACAO JUDICIAL</t>
        </is>
      </c>
      <c r="C12" s="10" t="inlineStr">
        <is>
          <t>16.04.2026</t>
        </is>
      </c>
      <c r="D12" s="10" t="inlineStr">
        <is>
          <t>31</t>
        </is>
      </c>
      <c r="E12" s="11" t="inlineStr">
        <is>
          <t>✓</t>
        </is>
      </c>
      <c r="F12" s="10" t="inlineStr">
        <is>
          <t>140101</t>
        </is>
      </c>
      <c r="G12" s="12" t="n">
        <v>1870</v>
      </c>
      <c r="H12" s="12" t="n">
        <v>0</v>
      </c>
      <c r="I12" s="12" t="n">
        <v>0</v>
      </c>
      <c r="J12" s="12" t="n">
        <v>1870</v>
      </c>
      <c r="K12" s="10" t="inlineStr">
        <is>
          <t>Não Retido</t>
        </is>
      </c>
      <c r="L12" s="12" t="n">
        <v>0</v>
      </c>
      <c r="M12" s="13" t="n">
        <v>0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3" t="n">
        <v>0</v>
      </c>
      <c r="T12" s="12" t="n">
        <v>0</v>
      </c>
      <c r="U12" s="12" t="n">
        <v>0</v>
      </c>
      <c r="V12" s="13" t="n">
        <v>0</v>
      </c>
      <c r="W12" s="12" t="n">
        <v>0</v>
      </c>
      <c r="X12" s="14" t="inlineStr">
        <is>
          <t>21053022258744901000178000000000003126047324865227</t>
        </is>
      </c>
    </row>
    <row r="13" ht="15" customHeight="1">
      <c r="A13" s="15" t="inlineStr">
        <is>
          <t>37501287000143</t>
        </is>
      </c>
      <c r="B13" s="15" t="inlineStr">
        <is>
          <t>AL TRANSPORTES LTDA</t>
        </is>
      </c>
      <c r="C13" s="16" t="inlineStr">
        <is>
          <t>20.04.2026</t>
        </is>
      </c>
      <c r="D13" s="16" t="inlineStr">
        <is>
          <t>33</t>
        </is>
      </c>
      <c r="E13" s="11" t="inlineStr">
        <is>
          <t>✓</t>
        </is>
      </c>
      <c r="F13" s="16" t="inlineStr">
        <is>
          <t>140101</t>
        </is>
      </c>
      <c r="G13" s="17" t="n">
        <v>1620</v>
      </c>
      <c r="H13" s="17" t="n">
        <v>0</v>
      </c>
      <c r="I13" s="17" t="n">
        <v>0</v>
      </c>
      <c r="J13" s="17" t="n">
        <v>1620</v>
      </c>
      <c r="K13" s="16" t="inlineStr">
        <is>
          <t>Não Retido</t>
        </is>
      </c>
      <c r="L13" s="17" t="n">
        <v>0</v>
      </c>
      <c r="M13" s="18" t="n">
        <v>0</v>
      </c>
      <c r="N13" s="17" t="n">
        <v>0</v>
      </c>
      <c r="O13" s="17" t="n">
        <v>0</v>
      </c>
      <c r="P13" s="17" t="n">
        <v>0</v>
      </c>
      <c r="Q13" s="17" t="n">
        <v>0</v>
      </c>
      <c r="R13" s="17" t="n">
        <v>0</v>
      </c>
      <c r="S13" s="18" t="n">
        <v>0</v>
      </c>
      <c r="T13" s="17" t="n">
        <v>0</v>
      </c>
      <c r="U13" s="17" t="n">
        <v>0</v>
      </c>
      <c r="V13" s="18" t="n">
        <v>0</v>
      </c>
      <c r="W13" s="17" t="n">
        <v>0</v>
      </c>
      <c r="X13" s="19" t="inlineStr">
        <is>
          <t>21053022258744901000178000000000003326041327737490</t>
        </is>
      </c>
    </row>
    <row r="14" ht="15" customHeight="1">
      <c r="A14" s="9" t="inlineStr">
        <is>
          <t>37501287000143</t>
        </is>
      </c>
      <c r="B14" s="9" t="inlineStr">
        <is>
          <t>AL TRANSPORTES LTDA</t>
        </is>
      </c>
      <c r="C14" s="10" t="inlineStr">
        <is>
          <t>20.04.2026</t>
        </is>
      </c>
      <c r="D14" s="10" t="inlineStr">
        <is>
          <t>32</t>
        </is>
      </c>
      <c r="E14" s="11" t="inlineStr">
        <is>
          <t>✓</t>
        </is>
      </c>
      <c r="F14" s="10" t="inlineStr">
        <is>
          <t>140101</t>
        </is>
      </c>
      <c r="G14" s="12" t="n">
        <v>650</v>
      </c>
      <c r="H14" s="12" t="n">
        <v>0</v>
      </c>
      <c r="I14" s="12" t="n">
        <v>0</v>
      </c>
      <c r="J14" s="12" t="n">
        <v>650</v>
      </c>
      <c r="K14" s="10" t="inlineStr">
        <is>
          <t>Não Retido</t>
        </is>
      </c>
      <c r="L14" s="12" t="n">
        <v>0</v>
      </c>
      <c r="M14" s="13" t="n">
        <v>0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3" t="n">
        <v>0</v>
      </c>
      <c r="T14" s="12" t="n">
        <v>0</v>
      </c>
      <c r="U14" s="12" t="n">
        <v>0</v>
      </c>
      <c r="V14" s="13" t="n">
        <v>0</v>
      </c>
      <c r="W14" s="12" t="n">
        <v>0</v>
      </c>
      <c r="X14" s="14" t="inlineStr">
        <is>
          <t>21053022258744901000178000000000003226040069282787</t>
        </is>
      </c>
    </row>
    <row r="15" ht="15" customHeight="1">
      <c r="A15" s="15" t="inlineStr">
        <is>
          <t>01047465000160</t>
        </is>
      </c>
      <c r="B15" s="15" t="inlineStr">
        <is>
          <t>TOPAZIO IND. E COM. LTDA</t>
        </is>
      </c>
      <c r="C15" s="16" t="inlineStr">
        <is>
          <t>22.04.2026</t>
        </is>
      </c>
      <c r="D15" s="16" t="inlineStr">
        <is>
          <t>34</t>
        </is>
      </c>
      <c r="E15" s="11" t="inlineStr">
        <is>
          <t>✓</t>
        </is>
      </c>
      <c r="F15" s="16" t="inlineStr">
        <is>
          <t>140101</t>
        </is>
      </c>
      <c r="G15" s="17" t="n">
        <v>300</v>
      </c>
      <c r="H15" s="17" t="n">
        <v>0</v>
      </c>
      <c r="I15" s="17" t="n">
        <v>0</v>
      </c>
      <c r="J15" s="17" t="n">
        <v>300</v>
      </c>
      <c r="K15" s="16" t="inlineStr">
        <is>
          <t>Não Retido</t>
        </is>
      </c>
      <c r="L15" s="17" t="n">
        <v>0</v>
      </c>
      <c r="M15" s="18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8" t="n">
        <v>0</v>
      </c>
      <c r="T15" s="17" t="n">
        <v>0</v>
      </c>
      <c r="U15" s="17" t="n">
        <v>0</v>
      </c>
      <c r="V15" s="18" t="n">
        <v>0</v>
      </c>
      <c r="W15" s="17" t="n">
        <v>0</v>
      </c>
      <c r="X15" s="19" t="inlineStr">
        <is>
          <t>21053022258744901000178000000000003426048054651750</t>
        </is>
      </c>
    </row>
    <row r="16" ht="15" customHeight="1">
      <c r="A16" s="9" t="inlineStr">
        <is>
          <t>37501287000143</t>
        </is>
      </c>
      <c r="B16" s="9" t="inlineStr">
        <is>
          <t>AL TRANSPORTES LTDA</t>
        </is>
      </c>
      <c r="C16" s="10" t="inlineStr">
        <is>
          <t>23.04.2026</t>
        </is>
      </c>
      <c r="D16" s="10" t="inlineStr">
        <is>
          <t>36</t>
        </is>
      </c>
      <c r="E16" s="11" t="inlineStr">
        <is>
          <t>✓</t>
        </is>
      </c>
      <c r="F16" s="10" t="inlineStr">
        <is>
          <t>140101</t>
        </is>
      </c>
      <c r="G16" s="12" t="n">
        <v>650</v>
      </c>
      <c r="H16" s="12" t="n">
        <v>0</v>
      </c>
      <c r="I16" s="12" t="n">
        <v>0</v>
      </c>
      <c r="J16" s="12" t="n">
        <v>650</v>
      </c>
      <c r="K16" s="10" t="inlineStr">
        <is>
          <t>Não Retido</t>
        </is>
      </c>
      <c r="L16" s="12" t="n">
        <v>0</v>
      </c>
      <c r="M16" s="13" t="n">
        <v>0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3" t="n">
        <v>0</v>
      </c>
      <c r="T16" s="12" t="n">
        <v>0</v>
      </c>
      <c r="U16" s="12" t="n">
        <v>0</v>
      </c>
      <c r="V16" s="13" t="n">
        <v>0</v>
      </c>
      <c r="W16" s="12" t="n">
        <v>0</v>
      </c>
      <c r="X16" s="14" t="inlineStr">
        <is>
          <t>21053022258744901000178000000000003626047312855963</t>
        </is>
      </c>
    </row>
    <row r="17" ht="15" customHeight="1">
      <c r="A17" s="15" t="inlineStr">
        <is>
          <t>08091086000117</t>
        </is>
      </c>
      <c r="B17" s="15" t="inlineStr">
        <is>
          <t>NOBLEINVEST ATIVIDADES RURAIS LTDA</t>
        </is>
      </c>
      <c r="C17" s="16" t="inlineStr">
        <is>
          <t>23.04.2026</t>
        </is>
      </c>
      <c r="D17" s="16" t="inlineStr">
        <is>
          <t>35</t>
        </is>
      </c>
      <c r="E17" s="11" t="inlineStr">
        <is>
          <t>✓</t>
        </is>
      </c>
      <c r="F17" s="16" t="inlineStr">
        <is>
          <t>140101</t>
        </is>
      </c>
      <c r="G17" s="17" t="n">
        <v>1000</v>
      </c>
      <c r="H17" s="17" t="n">
        <v>0</v>
      </c>
      <c r="I17" s="17" t="n">
        <v>0</v>
      </c>
      <c r="J17" s="17" t="n">
        <v>1000</v>
      </c>
      <c r="K17" s="16" t="inlineStr">
        <is>
          <t>Não Retido</t>
        </is>
      </c>
      <c r="L17" s="17" t="n">
        <v>0</v>
      </c>
      <c r="M17" s="18" t="n">
        <v>0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8" t="n">
        <v>0</v>
      </c>
      <c r="T17" s="17" t="n">
        <v>0</v>
      </c>
      <c r="U17" s="17" t="n">
        <v>0</v>
      </c>
      <c r="V17" s="18" t="n">
        <v>0</v>
      </c>
      <c r="W17" s="17" t="n">
        <v>0</v>
      </c>
      <c r="X17" s="19" t="inlineStr">
        <is>
          <t>21053022258744901000178000000000003526041285068754</t>
        </is>
      </c>
    </row>
    <row r="18" ht="18" customHeight="1">
      <c r="A18" s="20" t="inlineStr">
        <is>
          <t>TOTAL  |  Regular: 14  |  Canceladas: 0  |  Cancelamento em análise: 0</t>
        </is>
      </c>
      <c r="G18" s="21" t="n">
        <v>12200</v>
      </c>
      <c r="H18" s="22" t="inlineStr"/>
      <c r="I18" s="21">
        <f>SUMIFS(I4:I17,E4:E17,"&lt;&gt;*Cancelada*")</f>
        <v/>
      </c>
      <c r="J18" s="21" t="n">
        <v>12200</v>
      </c>
      <c r="K18" s="22" t="inlineStr"/>
      <c r="L18" s="21">
        <f>SUMIFS(L4:L17,E4:E17,"&lt;&gt;*Cancelada*")</f>
        <v/>
      </c>
      <c r="M18" s="22" t="inlineStr"/>
      <c r="N18" s="21">
        <f>SUMIFS(N4:N17,E4:E17,"&lt;&gt;*Cancelada*")</f>
        <v/>
      </c>
      <c r="O18" s="21">
        <f>SUMIFS(O4:O17,E4:E17,"&lt;&gt;*Cancelada*")</f>
        <v/>
      </c>
      <c r="P18" s="21">
        <f>SUMIFS(P4:P17,E4:E17,"&lt;&gt;*Cancelada*")</f>
        <v/>
      </c>
      <c r="Q18" s="21">
        <f>SUMIFS(Q4:Q17,E4:E17,"&lt;&gt;*Cancelada*")</f>
        <v/>
      </c>
      <c r="R18" s="21">
        <f>SUMIFS(R4:R17,E4:E17,"&lt;&gt;*Cancelada*")</f>
        <v/>
      </c>
      <c r="S18" s="22" t="inlineStr"/>
      <c r="T18" s="21">
        <f>SUMIFS(T4:T17,E4:E17,"&lt;&gt;*Cancelada*")</f>
        <v/>
      </c>
      <c r="U18" s="21">
        <f>SUMIFS(U4:U17,E4:E17,"&lt;&gt;*Cancelada*")</f>
        <v/>
      </c>
      <c r="V18" s="22" t="inlineStr"/>
      <c r="W18" s="21">
        <f>SUMIFS(W4:W17,E4:E17,"&lt;&gt;*Cancelada*")</f>
        <v/>
      </c>
      <c r="X18" s="22" t="inlineStr"/>
    </row>
    <row r="19">
      <c r="M19" s="23" t="inlineStr">
        <is>
          <t>Não Retido</t>
        </is>
      </c>
      <c r="N19" s="24">
        <f>SUMIFS(N4:N17,K4:K17,"Não Retido",E4:E17,"&lt;&gt;*Cancelada*")</f>
        <v/>
      </c>
    </row>
    <row r="20">
      <c r="M20" s="25" t="inlineStr">
        <is>
          <t>Retido</t>
        </is>
      </c>
      <c r="N20" s="26">
        <f>SUMIFS(N4:N17,K4:K17,"Retido",E4:E17,"&lt;&gt;*Cancelada*")</f>
        <v/>
      </c>
    </row>
  </sheetData>
  <autoFilter ref="A3:X3"/>
  <mergeCells count="7">
    <mergeCell ref="A2:B2"/>
    <mergeCell ref="X2"/>
    <mergeCell ref="C2:J2"/>
    <mergeCell ref="A18:F18"/>
    <mergeCell ref="K2:N2"/>
    <mergeCell ref="A1:X1"/>
    <mergeCell ref="O2:W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3" customWidth="1" min="3" max="3"/>
    <col width="10" customWidth="1" min="4" max="4"/>
    <col width="20" customWidth="1" min="5" max="5"/>
    <col width="10" customWidth="1" min="6" max="6"/>
    <col width="18" customWidth="1" min="7" max="7"/>
    <col width="12" customWidth="1" min="8" max="8"/>
    <col width="14" customWidth="1" min="9" max="9"/>
    <col width="16" customWidth="1" min="10" max="10"/>
    <col width="12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3" customWidth="1" min="19" max="19"/>
    <col width="14" customWidth="1" min="20" max="20"/>
    <col width="14" customWidth="1" min="21" max="21"/>
    <col width="15" customWidth="1" min="22" max="22"/>
    <col width="14" customWidth="1" min="23" max="23"/>
    <col width="40" customWidth="1" min="24" max="24"/>
  </cols>
  <sheetData>
    <row r="1" ht="22" customHeight="1">
      <c r="A1" s="1" t="inlineStr">
        <is>
          <t>DETALHAMENTO DE NFS-e  —  A L MONTES SERVIÇOS  —  04/2026 - REGIME: Simples Nacional EPP</t>
        </is>
      </c>
    </row>
    <row r="2" ht="18" customHeight="1">
      <c r="A2" s="2" t="inlineStr">
        <is>
          <t>PRESTADOR</t>
        </is>
      </c>
      <c r="C2" s="3" t="inlineStr">
        <is>
          <t>DOCUMENTO</t>
        </is>
      </c>
      <c r="K2" s="4" t="inlineStr">
        <is>
          <t>ISS</t>
        </is>
      </c>
      <c r="O2" s="5" t="inlineStr">
        <is>
          <t>RETENÇÕES FEDERAIS</t>
        </is>
      </c>
      <c r="X2" s="6" t="inlineStr">
        <is>
          <t>NOTA</t>
        </is>
      </c>
    </row>
    <row r="3" ht="28" customHeight="1">
      <c r="A3" s="7" t="inlineStr">
        <is>
          <t>CNPJ</t>
        </is>
      </c>
      <c r="B3" s="7" t="inlineStr">
        <is>
          <t>PRESTADOR</t>
        </is>
      </c>
      <c r="C3" s="7" t="inlineStr">
        <is>
          <t>EMISSÃO</t>
        </is>
      </c>
      <c r="D3" s="7" t="inlineStr">
        <is>
          <t>NÚMERO</t>
        </is>
      </c>
      <c r="E3" s="7" t="inlineStr">
        <is>
          <t>STATUS</t>
        </is>
      </c>
      <c r="F3" s="7" t="inlineStr">
        <is>
          <t>CNAE</t>
        </is>
      </c>
      <c r="G3" s="7" t="inlineStr">
        <is>
          <t>VALOR TOTAL NFSe</t>
        </is>
      </c>
      <c r="H3" s="7" t="inlineStr">
        <is>
          <t>DEDUÇÃO</t>
        </is>
      </c>
      <c r="I3" s="8" t="inlineStr">
        <is>
          <t>DESCONTOS
INCONDICIONADOS</t>
        </is>
      </c>
      <c r="J3" s="7" t="inlineStr">
        <is>
          <t>VALOR SERVIÇO</t>
        </is>
      </c>
      <c r="K3" s="7" t="inlineStr">
        <is>
          <t>ISS</t>
        </is>
      </c>
      <c r="L3" s="7" t="inlineStr">
        <is>
          <t>BASE DE CALCULO</t>
        </is>
      </c>
      <c r="M3" s="7" t="inlineStr">
        <is>
          <t>ALÍQUOTA</t>
        </is>
      </c>
      <c r="N3" s="7" t="inlineStr">
        <is>
          <t>VALOR ISS</t>
        </is>
      </c>
      <c r="O3" s="7" t="inlineStr">
        <is>
          <t>INSS</t>
        </is>
      </c>
      <c r="P3" s="7" t="inlineStr">
        <is>
          <t>IRRF</t>
        </is>
      </c>
      <c r="Q3" s="7" t="inlineStr">
        <is>
          <t>CSLL</t>
        </is>
      </c>
      <c r="R3" s="7" t="inlineStr">
        <is>
          <t>BASE PIS</t>
        </is>
      </c>
      <c r="S3" s="7" t="inlineStr">
        <is>
          <t>ALIQUOTA PIS</t>
        </is>
      </c>
      <c r="T3" s="7" t="inlineStr">
        <is>
          <t>PIS</t>
        </is>
      </c>
      <c r="U3" s="7" t="inlineStr">
        <is>
          <t>BASE COFINS</t>
        </is>
      </c>
      <c r="V3" s="7" t="inlineStr">
        <is>
          <t>ALIQUOTA COFINS</t>
        </is>
      </c>
      <c r="W3" s="7" t="inlineStr">
        <is>
          <t>COFINS</t>
        </is>
      </c>
      <c r="X3" s="7" t="inlineStr">
        <is>
          <t>CHAVE</t>
        </is>
      </c>
    </row>
    <row r="4" ht="18" customHeight="1">
      <c r="A4" s="20" t="inlineStr">
        <is>
          <t>TOTAL  |  Regular: 0  |  Canceladas: 0  |  Cancelamento em análise: 0</t>
        </is>
      </c>
      <c r="G4" s="21" t="n">
        <v>0</v>
      </c>
      <c r="H4" s="22" t="inlineStr"/>
      <c r="I4" s="21">
        <f>SUMIFS(I4:I3,E4:E3,"&lt;&gt;*Cancelada*")</f>
        <v/>
      </c>
      <c r="J4" s="21" t="n">
        <v>0</v>
      </c>
      <c r="K4" s="22" t="inlineStr"/>
      <c r="L4" s="21">
        <f>SUMIFS(L4:L3,E4:E3,"&lt;&gt;*Cancelada*")</f>
        <v/>
      </c>
      <c r="M4" s="22" t="inlineStr"/>
      <c r="N4" s="21">
        <f>SUMIFS(N4:N3,E4:E3,"&lt;&gt;*Cancelada*")</f>
        <v/>
      </c>
      <c r="O4" s="21">
        <f>SUMIFS(O4:O3,E4:E3,"&lt;&gt;*Cancelada*")</f>
        <v/>
      </c>
      <c r="P4" s="21">
        <f>SUMIFS(P4:P3,E4:E3,"&lt;&gt;*Cancelada*")</f>
        <v/>
      </c>
      <c r="Q4" s="21">
        <f>SUMIFS(Q4:Q3,E4:E3,"&lt;&gt;*Cancelada*")</f>
        <v/>
      </c>
      <c r="R4" s="21">
        <f>SUMIFS(R4:R3,E4:E3,"&lt;&gt;*Cancelada*")</f>
        <v/>
      </c>
      <c r="S4" s="22" t="inlineStr"/>
      <c r="T4" s="21">
        <f>SUMIFS(T4:T3,E4:E3,"&lt;&gt;*Cancelada*")</f>
        <v/>
      </c>
      <c r="U4" s="21">
        <f>SUMIFS(U4:U3,E4:E3,"&lt;&gt;*Cancelada*")</f>
        <v/>
      </c>
      <c r="V4" s="22" t="inlineStr"/>
      <c r="W4" s="21">
        <f>SUMIFS(W4:W3,E4:E3,"&lt;&gt;*Cancelada*")</f>
        <v/>
      </c>
      <c r="X4" s="22" t="inlineStr"/>
    </row>
    <row r="5">
      <c r="M5" s="23" t="inlineStr">
        <is>
          <t>Não Retido</t>
        </is>
      </c>
      <c r="N5" s="24">
        <f>SUMIFS(N4:N3,K4:K3,"Não Retido",E4:E3,"&lt;&gt;*Cancelada*")</f>
        <v/>
      </c>
    </row>
    <row r="6">
      <c r="M6" s="25" t="inlineStr">
        <is>
          <t>Retido</t>
        </is>
      </c>
      <c r="N6" s="26">
        <f>SUMIFS(N4:N3,K4:K3,"Retido",E4:E3,"&lt;&gt;*Cancelada*")</f>
        <v/>
      </c>
    </row>
  </sheetData>
  <autoFilter ref="A3:X3"/>
  <mergeCells count="7">
    <mergeCell ref="A2:B2"/>
    <mergeCell ref="X2"/>
    <mergeCell ref="C2:J2"/>
    <mergeCell ref="K2:N2"/>
    <mergeCell ref="A1:X1"/>
    <mergeCell ref="A4:F4"/>
    <mergeCell ref="O2:W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2026-05-18T20:19:49Z</dcterms:created>
  <dcterms:modified xmlns:dcterms="http://purl.org/dc/terms/" xmlns:xsi="http://www.w3.org/2001/XMLSchema-instance" xsi:type="dcterms:W3CDTF">2026-05-18T20:19:49Z</dcterms:modified>
</cp:coreProperties>
</file>