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AABB  - 06484026000139 —  04/2026 - REGIME: NÃO OPTANTE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/>
      <c r="B4" s="9" t="inlineStr"/>
      <c r="C4" s="10" t="inlineStr">
        <is>
          <t>06.04.2026</t>
        </is>
      </c>
      <c r="D4" s="10" t="inlineStr">
        <is>
          <t>2</t>
        </is>
      </c>
      <c r="E4" s="11" t="inlineStr">
        <is>
          <t>✓</t>
        </is>
      </c>
      <c r="F4" s="10" t="inlineStr">
        <is>
          <t>030401</t>
        </is>
      </c>
      <c r="G4" s="12" t="n">
        <v>1200</v>
      </c>
      <c r="H4" s="12" t="n">
        <v>0</v>
      </c>
      <c r="I4" s="12" t="n">
        <v>0</v>
      </c>
      <c r="J4" s="12" t="n">
        <v>1200</v>
      </c>
      <c r="K4" s="10" t="inlineStr">
        <is>
          <t>Não Retido</t>
        </is>
      </c>
      <c r="L4" s="12" t="n">
        <v>1200</v>
      </c>
      <c r="M4" s="13" t="n">
        <v>5</v>
      </c>
      <c r="N4" s="12" t="n">
        <v>60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21053022206484026000139000000000000226048306331568</t>
        </is>
      </c>
    </row>
    <row r="5" ht="18" customHeight="1">
      <c r="A5" s="15" t="inlineStr">
        <is>
          <t>TOTAL  |  Regular: 1  |  Canceladas: 0  |  Cancelamento em análise: 0</t>
        </is>
      </c>
      <c r="G5" s="16" t="n">
        <v>1200</v>
      </c>
      <c r="H5" s="17" t="inlineStr"/>
      <c r="I5" s="16">
        <f>SUMIFS(I4:I4,E4:E4,"&lt;&gt;*Cancelada*")</f>
        <v/>
      </c>
      <c r="J5" s="16" t="n">
        <v>1200</v>
      </c>
      <c r="K5" s="17" t="inlineStr"/>
      <c r="L5" s="16">
        <f>SUMIFS(L4:L4,E4:E4,"&lt;&gt;*Cancelada*")</f>
        <v/>
      </c>
      <c r="M5" s="17" t="inlineStr"/>
      <c r="N5" s="16">
        <f>SUMIFS(N4:N4,E4:E4,"&lt;&gt;*Cancelada*")</f>
        <v/>
      </c>
      <c r="O5" s="16">
        <f>SUMIFS(O4:O4,E4:E4,"&lt;&gt;*Cancelada*")</f>
        <v/>
      </c>
      <c r="P5" s="16">
        <f>SUMIFS(P4:P4,E4:E4,"&lt;&gt;*Cancelada*")</f>
        <v/>
      </c>
      <c r="Q5" s="16">
        <f>SUMIFS(Q4:Q4,E4:E4,"&lt;&gt;*Cancelada*")</f>
        <v/>
      </c>
      <c r="R5" s="16">
        <f>SUMIFS(R4:R4,E4:E4,"&lt;&gt;*Cancelada*")</f>
        <v/>
      </c>
      <c r="S5" s="17" t="inlineStr"/>
      <c r="T5" s="16">
        <f>SUMIFS(T4:T4,E4:E4,"&lt;&gt;*Cancelada*")</f>
        <v/>
      </c>
      <c r="U5" s="16">
        <f>SUMIFS(U4:U4,E4:E4,"&lt;&gt;*Cancelada*")</f>
        <v/>
      </c>
      <c r="V5" s="17" t="inlineStr"/>
      <c r="W5" s="16">
        <f>SUMIFS(W4:W4,E4:E4,"&lt;&gt;*Cancelada*")</f>
        <v/>
      </c>
      <c r="X5" s="17" t="inlineStr"/>
    </row>
    <row r="6">
      <c r="M6" s="18" t="inlineStr">
        <is>
          <t>Não Retido</t>
        </is>
      </c>
      <c r="N6" s="19">
        <f>SUMIFS(N4:N4,K4:K4,"Não Retido",E4:E4,"&lt;&gt;*Cancelada*")</f>
        <v/>
      </c>
    </row>
    <row r="7">
      <c r="M7" s="20" t="inlineStr">
        <is>
          <t>Retido</t>
        </is>
      </c>
      <c r="N7" s="21">
        <f>SUMIFS(N4:N4,K4:K4,"Retido",E4:E4,"&lt;&gt;*Cancelada*")</f>
        <v/>
      </c>
    </row>
  </sheetData>
  <autoFilter ref="A3:X3"/>
  <mergeCells count="7">
    <mergeCell ref="A2:B2"/>
    <mergeCell ref="A5:F5"/>
    <mergeCell ref="X2"/>
    <mergeCell ref="C2:J2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AABB  —  04/2026 - REGIME: NÃO OPTANTE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15" t="inlineStr">
        <is>
          <t>TOTAL  |  Regular: 0  |  Canceladas: 0  |  Cancelamento em análise: 0</t>
        </is>
      </c>
      <c r="G4" s="16" t="n">
        <v>0</v>
      </c>
      <c r="H4" s="17" t="inlineStr"/>
      <c r="I4" s="16">
        <f>SUMIFS(I4:I3,E4:E3,"&lt;&gt;*Cancelada*")</f>
        <v/>
      </c>
      <c r="J4" s="16" t="n">
        <v>0</v>
      </c>
      <c r="K4" s="17" t="inlineStr"/>
      <c r="L4" s="16">
        <f>SUMIFS(L4:L3,E4:E3,"&lt;&gt;*Cancelada*")</f>
        <v/>
      </c>
      <c r="M4" s="17" t="inlineStr"/>
      <c r="N4" s="16">
        <f>SUMIFS(N4:N3,E4:E3,"&lt;&gt;*Cancelada*")</f>
        <v/>
      </c>
      <c r="O4" s="16">
        <f>SUMIFS(O4:O3,E4:E3,"&lt;&gt;*Cancelada*")</f>
        <v/>
      </c>
      <c r="P4" s="16">
        <f>SUMIFS(P4:P3,E4:E3,"&lt;&gt;*Cancelada*")</f>
        <v/>
      </c>
      <c r="Q4" s="16">
        <f>SUMIFS(Q4:Q3,E4:E3,"&lt;&gt;*Cancelada*")</f>
        <v/>
      </c>
      <c r="R4" s="16">
        <f>SUMIFS(R4:R3,E4:E3,"&lt;&gt;*Cancelada*")</f>
        <v/>
      </c>
      <c r="S4" s="17" t="inlineStr"/>
      <c r="T4" s="16">
        <f>SUMIFS(T4:T3,E4:E3,"&lt;&gt;*Cancelada*")</f>
        <v/>
      </c>
      <c r="U4" s="16">
        <f>SUMIFS(U4:U3,E4:E3,"&lt;&gt;*Cancelada*")</f>
        <v/>
      </c>
      <c r="V4" s="17" t="inlineStr"/>
      <c r="W4" s="16">
        <f>SUMIFS(W4:W3,E4:E3,"&lt;&gt;*Cancelada*")</f>
        <v/>
      </c>
      <c r="X4" s="17" t="inlineStr"/>
    </row>
    <row r="5">
      <c r="M5" s="18" t="inlineStr">
        <is>
          <t>Não Retido</t>
        </is>
      </c>
      <c r="N5" s="19">
        <f>SUMIFS(N4:N3,K4:K3,"Não Retido",E4:E3,"&lt;&gt;*Cancelada*")</f>
        <v/>
      </c>
    </row>
    <row r="6">
      <c r="M6" s="20" t="inlineStr">
        <is>
          <t>Retido</t>
        </is>
      </c>
      <c r="N6" s="21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2026-05-18T20:16:32Z</dcterms:created>
  <dcterms:modified xmlns:dcterms="http://purl.org/dc/terms/" xmlns:xsi="http://www.w3.org/2001/XMLSchema-instance" xsi:type="dcterms:W3CDTF">2026-05-18T20:16:32Z</dcterms:modified>
</cp:coreProperties>
</file>