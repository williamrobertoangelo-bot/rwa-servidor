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TADO" sheetId="1" state="visible" r:id="rId1"/>
    <sheet xmlns:r="http://schemas.openxmlformats.org/officeDocument/2006/relationships" name="TOMADO" sheetId="2" state="visible" r:id="rId2"/>
  </sheets>
  <definedNames>
    <definedName name="_xlnm._FilterDatabase" localSheetId="0" hidden="1">'PRESTADO'!$A$3:$X$3</definedName>
    <definedName name="_xlnm._FilterDatabase" localSheetId="1" hidden="1">'TOMADO'!$A$3:$X$3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&quot;%&quot;"/>
  </numFmts>
  <fonts count="12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b val="1"/>
      <color rgb="FFFFFFFF"/>
      <sz val="9"/>
    </font>
    <font>
      <name val="Calibri"/>
      <b val="1"/>
      <color rgb="FFFFFFFF"/>
      <sz val="8"/>
    </font>
    <font>
      <name val="Calibri"/>
      <color rgb="FF000000"/>
      <sz val="9"/>
    </font>
    <font>
      <name val="Calibri"/>
      <color rgb="FF000000"/>
      <sz val="8"/>
    </font>
    <font>
      <name val="Calibri"/>
      <b val="1"/>
      <color rgb="FF1E8449"/>
      <sz val="10"/>
    </font>
    <font>
      <name val="Calibri"/>
      <b val="1"/>
      <color rgb="FFC0392B"/>
      <sz val="9"/>
    </font>
    <font>
      <name val="Calibri"/>
      <b val="1"/>
      <color rgb="FF6C3483"/>
      <sz val="9"/>
    </font>
    <font>
      <name val="Calibri"/>
      <b val="1"/>
      <color rgb="FF000000"/>
      <sz val="10"/>
    </font>
    <font>
      <name val="Calibri"/>
      <b val="1"/>
      <color rgb="FFC0392B"/>
      <sz val="10"/>
    </font>
  </fonts>
  <fills count="1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1F6B75"/>
      </patternFill>
    </fill>
    <fill>
      <patternFill patternType="solid">
        <fgColor rgb="FF6C3483"/>
      </patternFill>
    </fill>
    <fill>
      <patternFill patternType="solid">
        <fgColor rgb="FF1A5276"/>
      </patternFill>
    </fill>
    <fill>
      <patternFill patternType="solid">
        <fgColor rgb="FF7D6608"/>
      </patternFill>
    </fill>
    <fill>
      <patternFill patternType="solid">
        <fgColor rgb="FF2E86C1"/>
      </patternFill>
    </fill>
    <fill>
      <patternFill patternType="solid">
        <fgColor rgb="FFF4F6F7"/>
      </patternFill>
    </fill>
    <fill>
      <patternFill patternType="solid">
        <fgColor rgb="FFD5F5E3"/>
      </patternFill>
    </fill>
    <fill>
      <patternFill patternType="solid">
        <fgColor rgb="FFEBF5FB"/>
      </patternFill>
    </fill>
    <fill>
      <patternFill patternType="solid">
        <fgColor rgb="FFFADBD8"/>
      </patternFill>
    </fill>
    <fill>
      <patternFill patternType="solid">
        <fgColor rgb="FFE8DAEF"/>
      </patternFill>
    </fill>
    <fill>
      <patternFill patternType="solid">
        <fgColor rgb="FFF9E79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right" vertical="center"/>
    </xf>
    <xf numFmtId="165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164" fontId="5" fillId="11" borderId="1" applyAlignment="1" pivotButton="0" quotePrefix="0" xfId="0">
      <alignment horizontal="right" vertical="center"/>
    </xf>
    <xf numFmtId="165" fontId="5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164" fontId="5" fillId="12" borderId="1" applyAlignment="1" pivotButton="0" quotePrefix="0" xfId="0">
      <alignment horizontal="right" vertical="center"/>
    </xf>
    <xf numFmtId="165" fontId="5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164" fontId="5" fillId="13" borderId="1" applyAlignment="1" pivotButton="0" quotePrefix="0" xfId="0">
      <alignment horizontal="right" vertical="center"/>
    </xf>
    <xf numFmtId="165" fontId="5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/>
    </xf>
    <xf numFmtId="0" fontId="10" fillId="14" borderId="1" applyAlignment="1" pivotButton="0" quotePrefix="0" xfId="0">
      <alignment horizontal="center" vertical="center"/>
    </xf>
    <xf numFmtId="164" fontId="10" fillId="10" borderId="1" applyAlignment="1" pivotButton="0" quotePrefix="0" xfId="0">
      <alignment horizontal="right" vertical="center"/>
    </xf>
    <xf numFmtId="0" fontId="0" fillId="14" borderId="1" pivotButton="0" quotePrefix="0" xfId="0"/>
    <xf numFmtId="0" fontId="7" fillId="10" borderId="1" applyAlignment="1" pivotButton="0" quotePrefix="0" xfId="0">
      <alignment horizontal="right" vertical="center"/>
    </xf>
    <xf numFmtId="164" fontId="7" fillId="10" borderId="1" applyAlignment="1" pivotButton="0" quotePrefix="0" xfId="0">
      <alignment horizontal="right" vertical="center"/>
    </xf>
    <xf numFmtId="0" fontId="11" fillId="12" borderId="1" applyAlignment="1" pivotButton="0" quotePrefix="0" xfId="0">
      <alignment horizontal="right" vertical="center"/>
    </xf>
    <xf numFmtId="164" fontId="11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3" customWidth="1" min="3" max="3"/>
    <col width="10" customWidth="1" min="4" max="4"/>
    <col width="20" customWidth="1" min="5" max="5"/>
    <col width="10" customWidth="1" min="6" max="6"/>
    <col width="18" customWidth="1" min="7" max="7"/>
    <col width="12" customWidth="1" min="8" max="8"/>
    <col width="14" customWidth="1" min="9" max="9"/>
    <col width="16" customWidth="1" min="10" max="10"/>
    <col width="12" customWidth="1" min="11" max="11"/>
    <col width="16" customWidth="1" min="12" max="12"/>
    <col width="12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3" customWidth="1" min="19" max="19"/>
    <col width="14" customWidth="1" min="20" max="20"/>
    <col width="14" customWidth="1" min="21" max="21"/>
    <col width="15" customWidth="1" min="22" max="22"/>
    <col width="14" customWidth="1" min="23" max="23"/>
    <col width="40" customWidth="1" min="24" max="24"/>
  </cols>
  <sheetData>
    <row r="1" ht="22" customHeight="1">
      <c r="A1" s="1" t="inlineStr">
        <is>
          <t>DETALHAMENTO DE NFS-e  —  V F BARROS - CAPACETE  - 40227362000134 —  04/2026 - REGIME: Simples Nacional EPP</t>
        </is>
      </c>
    </row>
    <row r="2" ht="18" customHeight="1">
      <c r="A2" s="2" t="inlineStr">
        <is>
          <t>TOMADOR</t>
        </is>
      </c>
      <c r="C2" s="3" t="inlineStr">
        <is>
          <t>DOCUMENTO</t>
        </is>
      </c>
      <c r="K2" s="4" t="inlineStr">
        <is>
          <t>ISS</t>
        </is>
      </c>
      <c r="O2" s="5" t="inlineStr">
        <is>
          <t>RETENÇÕES FEDERAIS</t>
        </is>
      </c>
      <c r="X2" s="6" t="inlineStr">
        <is>
          <t>NOTA</t>
        </is>
      </c>
    </row>
    <row r="3" ht="28" customHeight="1">
      <c r="A3" s="7" t="inlineStr">
        <is>
          <t>CNPJ</t>
        </is>
      </c>
      <c r="B3" s="7" t="inlineStr">
        <is>
          <t>CLIENTE</t>
        </is>
      </c>
      <c r="C3" s="7" t="inlineStr">
        <is>
          <t>EMISSÃO</t>
        </is>
      </c>
      <c r="D3" s="7" t="inlineStr">
        <is>
          <t>NÚMERO</t>
        </is>
      </c>
      <c r="E3" s="7" t="inlineStr">
        <is>
          <t>STATUS</t>
        </is>
      </c>
      <c r="F3" s="7" t="inlineStr">
        <is>
          <t>CNAE</t>
        </is>
      </c>
      <c r="G3" s="7" t="inlineStr">
        <is>
          <t>VALOR TOTAL NFSe</t>
        </is>
      </c>
      <c r="H3" s="7" t="inlineStr">
        <is>
          <t>DEDUÇÃO</t>
        </is>
      </c>
      <c r="I3" s="8" t="inlineStr">
        <is>
          <t>DESCONTOS
INCONDICIONADOS</t>
        </is>
      </c>
      <c r="J3" s="7" t="inlineStr">
        <is>
          <t>VALOR SERVIÇO</t>
        </is>
      </c>
      <c r="K3" s="7" t="inlineStr">
        <is>
          <t>ISS</t>
        </is>
      </c>
      <c r="L3" s="7" t="inlineStr">
        <is>
          <t>BASE DE CALCULO</t>
        </is>
      </c>
      <c r="M3" s="7" t="inlineStr">
        <is>
          <t>ALÍQUOTA</t>
        </is>
      </c>
      <c r="N3" s="7" t="inlineStr">
        <is>
          <t>VALOR ISS</t>
        </is>
      </c>
      <c r="O3" s="7" t="inlineStr">
        <is>
          <t>INSS</t>
        </is>
      </c>
      <c r="P3" s="7" t="inlineStr">
        <is>
          <t>IRRF</t>
        </is>
      </c>
      <c r="Q3" s="7" t="inlineStr">
        <is>
          <t>CSLL</t>
        </is>
      </c>
      <c r="R3" s="7" t="inlineStr">
        <is>
          <t>BASE PIS</t>
        </is>
      </c>
      <c r="S3" s="7" t="inlineStr">
        <is>
          <t>ALIQUOTA PIS</t>
        </is>
      </c>
      <c r="T3" s="7" t="inlineStr">
        <is>
          <t>PIS</t>
        </is>
      </c>
      <c r="U3" s="7" t="inlineStr">
        <is>
          <t>BASE COFINS</t>
        </is>
      </c>
      <c r="V3" s="7" t="inlineStr">
        <is>
          <t>ALIQUOTA COFINS</t>
        </is>
      </c>
      <c r="W3" s="7" t="inlineStr">
        <is>
          <t>COFINS</t>
        </is>
      </c>
      <c r="X3" s="7" t="inlineStr">
        <is>
          <t>CHAVE</t>
        </is>
      </c>
    </row>
    <row r="4" ht="15" customHeight="1">
      <c r="A4" s="9" t="inlineStr">
        <is>
          <t>05631031000164</t>
        </is>
      </c>
      <c r="B4" s="9" t="inlineStr">
        <is>
          <t>MUNICIPIO DE SITIO NOVO</t>
        </is>
      </c>
      <c r="C4" s="10" t="inlineStr">
        <is>
          <t>08.04.2026</t>
        </is>
      </c>
      <c r="D4" s="10" t="inlineStr">
        <is>
          <t>7</t>
        </is>
      </c>
      <c r="E4" s="11" t="inlineStr">
        <is>
          <t>✓</t>
        </is>
      </c>
      <c r="F4" s="10" t="inlineStr">
        <is>
          <t>310103</t>
        </is>
      </c>
      <c r="G4" s="12" t="n">
        <v>8291.290000000001</v>
      </c>
      <c r="H4" s="12" t="n">
        <v>0</v>
      </c>
      <c r="I4" s="12" t="n">
        <v>0</v>
      </c>
      <c r="J4" s="12" t="n">
        <v>8291.290000000001</v>
      </c>
      <c r="K4" s="10" t="inlineStr">
        <is>
          <t>Não Retido</t>
        </is>
      </c>
      <c r="L4" s="12" t="n">
        <v>0</v>
      </c>
      <c r="M4" s="13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3" t="n">
        <v>0</v>
      </c>
      <c r="T4" s="12" t="n">
        <v>0</v>
      </c>
      <c r="U4" s="12" t="n">
        <v>0</v>
      </c>
      <c r="V4" s="13" t="n">
        <v>0</v>
      </c>
      <c r="W4" s="12" t="n">
        <v>0</v>
      </c>
      <c r="X4" s="14" t="inlineStr">
        <is>
          <t>21053022240227362000134000000000000726043005449687</t>
        </is>
      </c>
    </row>
    <row r="5" ht="15" customHeight="1">
      <c r="A5" s="15" t="inlineStr">
        <is>
          <t>05631031000164</t>
        </is>
      </c>
      <c r="B5" s="15" t="inlineStr">
        <is>
          <t>MUNICIPIO DE SITIO NOVO</t>
        </is>
      </c>
      <c r="C5" s="16" t="inlineStr">
        <is>
          <t>08.04.2026</t>
        </is>
      </c>
      <c r="D5" s="16" t="inlineStr">
        <is>
          <t>6</t>
        </is>
      </c>
      <c r="E5" s="11" t="inlineStr">
        <is>
          <t>✓</t>
        </is>
      </c>
      <c r="F5" s="16" t="inlineStr">
        <is>
          <t>310103</t>
        </is>
      </c>
      <c r="G5" s="17" t="n">
        <v>4577.6</v>
      </c>
      <c r="H5" s="17" t="n">
        <v>0</v>
      </c>
      <c r="I5" s="17" t="n">
        <v>0</v>
      </c>
      <c r="J5" s="17" t="n">
        <v>4577.6</v>
      </c>
      <c r="K5" s="16" t="inlineStr">
        <is>
          <t>Não Retido</t>
        </is>
      </c>
      <c r="L5" s="17" t="n">
        <v>0</v>
      </c>
      <c r="M5" s="18" t="n">
        <v>0</v>
      </c>
      <c r="N5" s="17" t="n">
        <v>0</v>
      </c>
      <c r="O5" s="17" t="n">
        <v>0</v>
      </c>
      <c r="P5" s="17" t="n">
        <v>0</v>
      </c>
      <c r="Q5" s="17" t="n">
        <v>0</v>
      </c>
      <c r="R5" s="17" t="n">
        <v>0</v>
      </c>
      <c r="S5" s="18" t="n">
        <v>0</v>
      </c>
      <c r="T5" s="17" t="n">
        <v>0</v>
      </c>
      <c r="U5" s="17" t="n">
        <v>0</v>
      </c>
      <c r="V5" s="18" t="n">
        <v>0</v>
      </c>
      <c r="W5" s="17" t="n">
        <v>0</v>
      </c>
      <c r="X5" s="19" t="inlineStr">
        <is>
          <t>21053022240227362000134000000000000626040215980062</t>
        </is>
      </c>
    </row>
    <row r="6" ht="15" customHeight="1">
      <c r="A6" s="9" t="inlineStr">
        <is>
          <t>05631031000164</t>
        </is>
      </c>
      <c r="B6" s="9" t="inlineStr">
        <is>
          <t>MUNICIPIO DE SITIO NOVO</t>
        </is>
      </c>
      <c r="C6" s="10" t="inlineStr">
        <is>
          <t>08.04.2026</t>
        </is>
      </c>
      <c r="D6" s="10" t="inlineStr">
        <is>
          <t>5</t>
        </is>
      </c>
      <c r="E6" s="11" t="inlineStr">
        <is>
          <t>✓</t>
        </is>
      </c>
      <c r="F6" s="10" t="inlineStr">
        <is>
          <t>310103</t>
        </is>
      </c>
      <c r="G6" s="12" t="n">
        <v>3537.78</v>
      </c>
      <c r="H6" s="12" t="n">
        <v>0</v>
      </c>
      <c r="I6" s="12" t="n">
        <v>0</v>
      </c>
      <c r="J6" s="12" t="n">
        <v>3537.78</v>
      </c>
      <c r="K6" s="10" t="inlineStr">
        <is>
          <t>Não Retido</t>
        </is>
      </c>
      <c r="L6" s="12" t="n">
        <v>0</v>
      </c>
      <c r="M6" s="13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3" t="n">
        <v>0</v>
      </c>
      <c r="T6" s="12" t="n">
        <v>0</v>
      </c>
      <c r="U6" s="12" t="n">
        <v>0</v>
      </c>
      <c r="V6" s="13" t="n">
        <v>0</v>
      </c>
      <c r="W6" s="12" t="n">
        <v>0</v>
      </c>
      <c r="X6" s="14" t="inlineStr">
        <is>
          <t>21053022240227362000134000000000000526045341650081</t>
        </is>
      </c>
    </row>
    <row r="7" ht="15" customHeight="1">
      <c r="A7" s="15" t="inlineStr">
        <is>
          <t>05631031000164</t>
        </is>
      </c>
      <c r="B7" s="15" t="inlineStr">
        <is>
          <t>MUNICIPIO DE SITIO NOVO</t>
        </is>
      </c>
      <c r="C7" s="16" t="inlineStr">
        <is>
          <t>08.04.2026</t>
        </is>
      </c>
      <c r="D7" s="16" t="inlineStr">
        <is>
          <t>4</t>
        </is>
      </c>
      <c r="E7" s="11" t="inlineStr">
        <is>
          <t>✓</t>
        </is>
      </c>
      <c r="F7" s="16" t="inlineStr">
        <is>
          <t>310103</t>
        </is>
      </c>
      <c r="G7" s="17" t="n">
        <v>2313.82</v>
      </c>
      <c r="H7" s="17" t="n">
        <v>0</v>
      </c>
      <c r="I7" s="17" t="n">
        <v>0</v>
      </c>
      <c r="J7" s="17" t="n">
        <v>2313.82</v>
      </c>
      <c r="K7" s="16" t="inlineStr">
        <is>
          <t>Não Retido</t>
        </is>
      </c>
      <c r="L7" s="17" t="n">
        <v>0</v>
      </c>
      <c r="M7" s="18" t="n">
        <v>0</v>
      </c>
      <c r="N7" s="17" t="n">
        <v>0</v>
      </c>
      <c r="O7" s="17" t="n">
        <v>0</v>
      </c>
      <c r="P7" s="17" t="n">
        <v>0</v>
      </c>
      <c r="Q7" s="17" t="n">
        <v>0</v>
      </c>
      <c r="R7" s="17" t="n">
        <v>0</v>
      </c>
      <c r="S7" s="18" t="n">
        <v>0</v>
      </c>
      <c r="T7" s="17" t="n">
        <v>0</v>
      </c>
      <c r="U7" s="17" t="n">
        <v>0</v>
      </c>
      <c r="V7" s="18" t="n">
        <v>0</v>
      </c>
      <c r="W7" s="17" t="n">
        <v>0</v>
      </c>
      <c r="X7" s="19" t="inlineStr">
        <is>
          <t>21053022240227362000134000000000000426047537696389</t>
        </is>
      </c>
    </row>
    <row r="8" ht="15" customHeight="1">
      <c r="A8" s="20" t="inlineStr"/>
      <c r="B8" s="20" t="inlineStr">
        <is>
          <t>Tomador e Intermediário não identificados</t>
        </is>
      </c>
      <c r="C8" s="21" t="inlineStr">
        <is>
          <t>08.04.2026</t>
        </is>
      </c>
      <c r="D8" s="21" t="inlineStr">
        <is>
          <t>3</t>
        </is>
      </c>
      <c r="E8" s="22" t="inlineStr">
        <is>
          <t>✗  Cancelada</t>
        </is>
      </c>
      <c r="F8" s="21" t="inlineStr">
        <is>
          <t>310103</t>
        </is>
      </c>
      <c r="G8" s="23" t="n">
        <v>0</v>
      </c>
      <c r="H8" s="23" t="n">
        <v>0</v>
      </c>
      <c r="I8" s="23" t="n">
        <v>0</v>
      </c>
      <c r="J8" s="23" t="n">
        <v>0</v>
      </c>
      <c r="K8" s="21" t="inlineStr"/>
      <c r="L8" s="23" t="n">
        <v>0</v>
      </c>
      <c r="M8" s="24" t="n">
        <v>0</v>
      </c>
      <c r="N8" s="23" t="n">
        <v>0</v>
      </c>
      <c r="O8" s="23" t="n">
        <v>0</v>
      </c>
      <c r="P8" s="23" t="n">
        <v>0</v>
      </c>
      <c r="Q8" s="23" t="n">
        <v>0</v>
      </c>
      <c r="R8" s="23" t="n">
        <v>0</v>
      </c>
      <c r="S8" s="24" t="n">
        <v>0</v>
      </c>
      <c r="T8" s="23" t="n">
        <v>0</v>
      </c>
      <c r="U8" s="23" t="n">
        <v>0</v>
      </c>
      <c r="V8" s="24" t="n">
        <v>0</v>
      </c>
      <c r="W8" s="23" t="n">
        <v>0</v>
      </c>
      <c r="X8" s="25" t="inlineStr">
        <is>
          <t>21053022240227362000134000000000000326044801965930</t>
        </is>
      </c>
    </row>
    <row r="9" ht="15" customHeight="1">
      <c r="A9" s="15" t="inlineStr">
        <is>
          <t>06077764000161</t>
        </is>
      </c>
      <c r="B9" s="15" t="inlineStr">
        <is>
          <t>SECRETARIA DE EDUCACAO</t>
        </is>
      </c>
      <c r="C9" s="16" t="inlineStr">
        <is>
          <t>10.04.2026</t>
        </is>
      </c>
      <c r="D9" s="16" t="inlineStr">
        <is>
          <t>33</t>
        </is>
      </c>
      <c r="E9" s="11" t="inlineStr">
        <is>
          <t>✓</t>
        </is>
      </c>
      <c r="F9" s="16" t="inlineStr">
        <is>
          <t>140101</t>
        </is>
      </c>
      <c r="G9" s="17" t="n">
        <v>5403.56</v>
      </c>
      <c r="H9" s="17" t="n">
        <v>0</v>
      </c>
      <c r="I9" s="17" t="n">
        <v>0</v>
      </c>
      <c r="J9" s="17" t="n">
        <v>5403.56</v>
      </c>
      <c r="K9" s="16" t="inlineStr">
        <is>
          <t>Não Retido</t>
        </is>
      </c>
      <c r="L9" s="17" t="n">
        <v>0</v>
      </c>
      <c r="M9" s="18" t="n">
        <v>0</v>
      </c>
      <c r="N9" s="17" t="n">
        <v>0</v>
      </c>
      <c r="O9" s="17" t="n">
        <v>0</v>
      </c>
      <c r="P9" s="17" t="n">
        <v>0</v>
      </c>
      <c r="Q9" s="17" t="n">
        <v>0</v>
      </c>
      <c r="R9" s="17" t="n">
        <v>0</v>
      </c>
      <c r="S9" s="18" t="n">
        <v>0</v>
      </c>
      <c r="T9" s="17" t="n">
        <v>0</v>
      </c>
      <c r="U9" s="17" t="n">
        <v>0</v>
      </c>
      <c r="V9" s="18" t="n">
        <v>0</v>
      </c>
      <c r="W9" s="17" t="n">
        <v>0</v>
      </c>
      <c r="X9" s="19" t="inlineStr">
        <is>
          <t>21053022240227362000134000000000003326049140845849</t>
        </is>
      </c>
    </row>
    <row r="10" ht="15" customHeight="1">
      <c r="A10" s="9" t="inlineStr">
        <is>
          <t>06077764000161</t>
        </is>
      </c>
      <c r="B10" s="9" t="inlineStr">
        <is>
          <t>SECRETARIA DE EDUCACAO</t>
        </is>
      </c>
      <c r="C10" s="10" t="inlineStr">
        <is>
          <t>10.04.2026</t>
        </is>
      </c>
      <c r="D10" s="10" t="inlineStr">
        <is>
          <t>32</t>
        </is>
      </c>
      <c r="E10" s="11" t="inlineStr">
        <is>
          <t>✓</t>
        </is>
      </c>
      <c r="F10" s="10" t="inlineStr">
        <is>
          <t>140101</t>
        </is>
      </c>
      <c r="G10" s="12" t="n">
        <v>1975.06</v>
      </c>
      <c r="H10" s="12" t="n">
        <v>0</v>
      </c>
      <c r="I10" s="12" t="n">
        <v>0</v>
      </c>
      <c r="J10" s="12" t="n">
        <v>1975.06</v>
      </c>
      <c r="K10" s="10" t="inlineStr">
        <is>
          <t>Não Retido</t>
        </is>
      </c>
      <c r="L10" s="12" t="n">
        <v>0</v>
      </c>
      <c r="M10" s="13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3" t="n">
        <v>0</v>
      </c>
      <c r="T10" s="12" t="n">
        <v>0</v>
      </c>
      <c r="U10" s="12" t="n">
        <v>0</v>
      </c>
      <c r="V10" s="13" t="n">
        <v>0</v>
      </c>
      <c r="W10" s="12" t="n">
        <v>0</v>
      </c>
      <c r="X10" s="14" t="inlineStr">
        <is>
          <t>21053022240227362000134000000000003226046620044833</t>
        </is>
      </c>
    </row>
    <row r="11" ht="15" customHeight="1">
      <c r="A11" s="15" t="inlineStr">
        <is>
          <t>06077764000161</t>
        </is>
      </c>
      <c r="B11" s="15" t="inlineStr">
        <is>
          <t>SECRETARIA DE EDUCACAO</t>
        </is>
      </c>
      <c r="C11" s="16" t="inlineStr">
        <is>
          <t>10.04.2026</t>
        </is>
      </c>
      <c r="D11" s="16" t="inlineStr">
        <is>
          <t>31</t>
        </is>
      </c>
      <c r="E11" s="11" t="inlineStr">
        <is>
          <t>✓</t>
        </is>
      </c>
      <c r="F11" s="16" t="inlineStr">
        <is>
          <t>140101</t>
        </is>
      </c>
      <c r="G11" s="17" t="n">
        <v>8230.639999999999</v>
      </c>
      <c r="H11" s="17" t="n">
        <v>0</v>
      </c>
      <c r="I11" s="17" t="n">
        <v>0</v>
      </c>
      <c r="J11" s="17" t="n">
        <v>8230.639999999999</v>
      </c>
      <c r="K11" s="16" t="inlineStr">
        <is>
          <t>Não Retido</t>
        </is>
      </c>
      <c r="L11" s="17" t="n">
        <v>0</v>
      </c>
      <c r="M11" s="18" t="n">
        <v>0</v>
      </c>
      <c r="N11" s="17" t="n">
        <v>0</v>
      </c>
      <c r="O11" s="17" t="n">
        <v>0</v>
      </c>
      <c r="P11" s="17" t="n">
        <v>0</v>
      </c>
      <c r="Q11" s="17" t="n">
        <v>0</v>
      </c>
      <c r="R11" s="17" t="n">
        <v>0</v>
      </c>
      <c r="S11" s="18" t="n">
        <v>0</v>
      </c>
      <c r="T11" s="17" t="n">
        <v>0</v>
      </c>
      <c r="U11" s="17" t="n">
        <v>0</v>
      </c>
      <c r="V11" s="18" t="n">
        <v>0</v>
      </c>
      <c r="W11" s="17" t="n">
        <v>0</v>
      </c>
      <c r="X11" s="19" t="inlineStr">
        <is>
          <t>21053022240227362000134000000000003126040851253125</t>
        </is>
      </c>
    </row>
    <row r="12" ht="15" customHeight="1">
      <c r="A12" s="9" t="inlineStr">
        <is>
          <t>06077764000161</t>
        </is>
      </c>
      <c r="B12" s="9" t="inlineStr">
        <is>
          <t>SECRETARIA DE EDUCACAO</t>
        </is>
      </c>
      <c r="C12" s="10" t="inlineStr">
        <is>
          <t>10.04.2026</t>
        </is>
      </c>
      <c r="D12" s="10" t="inlineStr">
        <is>
          <t>30</t>
        </is>
      </c>
      <c r="E12" s="11" t="inlineStr">
        <is>
          <t>✓</t>
        </is>
      </c>
      <c r="F12" s="10" t="inlineStr">
        <is>
          <t>140101</t>
        </is>
      </c>
      <c r="G12" s="12" t="n">
        <v>1813.95</v>
      </c>
      <c r="H12" s="12" t="n">
        <v>0</v>
      </c>
      <c r="I12" s="12" t="n">
        <v>0</v>
      </c>
      <c r="J12" s="12" t="n">
        <v>1813.95</v>
      </c>
      <c r="K12" s="10" t="inlineStr">
        <is>
          <t>Não Retido</t>
        </is>
      </c>
      <c r="L12" s="12" t="n">
        <v>0</v>
      </c>
      <c r="M12" s="13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3" t="n">
        <v>0</v>
      </c>
      <c r="T12" s="12" t="n">
        <v>0</v>
      </c>
      <c r="U12" s="12" t="n">
        <v>0</v>
      </c>
      <c r="V12" s="13" t="n">
        <v>0</v>
      </c>
      <c r="W12" s="12" t="n">
        <v>0</v>
      </c>
      <c r="X12" s="14" t="inlineStr">
        <is>
          <t>21053022240227362000134000000000003026044317115963</t>
        </is>
      </c>
    </row>
    <row r="13" ht="15" customHeight="1">
      <c r="A13" s="15" t="inlineStr">
        <is>
          <t>06077764000161</t>
        </is>
      </c>
      <c r="B13" s="15" t="inlineStr">
        <is>
          <t>SECRETARIA DE EDUCACAO</t>
        </is>
      </c>
      <c r="C13" s="16" t="inlineStr">
        <is>
          <t>10.04.2026</t>
        </is>
      </c>
      <c r="D13" s="16" t="inlineStr">
        <is>
          <t>29</t>
        </is>
      </c>
      <c r="E13" s="11" t="inlineStr">
        <is>
          <t>✓</t>
        </is>
      </c>
      <c r="F13" s="16" t="inlineStr">
        <is>
          <t>140101</t>
        </is>
      </c>
      <c r="G13" s="17" t="n">
        <v>4161.42</v>
      </c>
      <c r="H13" s="17" t="n">
        <v>0</v>
      </c>
      <c r="I13" s="17" t="n">
        <v>0</v>
      </c>
      <c r="J13" s="17" t="n">
        <v>4161.42</v>
      </c>
      <c r="K13" s="16" t="inlineStr">
        <is>
          <t>Não Retido</t>
        </is>
      </c>
      <c r="L13" s="17" t="n">
        <v>0</v>
      </c>
      <c r="M13" s="18" t="n">
        <v>0</v>
      </c>
      <c r="N13" s="17" t="n">
        <v>0</v>
      </c>
      <c r="O13" s="17" t="n">
        <v>0</v>
      </c>
      <c r="P13" s="17" t="n">
        <v>0</v>
      </c>
      <c r="Q13" s="17" t="n">
        <v>0</v>
      </c>
      <c r="R13" s="17" t="n">
        <v>0</v>
      </c>
      <c r="S13" s="18" t="n">
        <v>0</v>
      </c>
      <c r="T13" s="17" t="n">
        <v>0</v>
      </c>
      <c r="U13" s="17" t="n">
        <v>0</v>
      </c>
      <c r="V13" s="18" t="n">
        <v>0</v>
      </c>
      <c r="W13" s="17" t="n">
        <v>0</v>
      </c>
      <c r="X13" s="19" t="inlineStr">
        <is>
          <t>21053022240227362000134000000000002926047135197080</t>
        </is>
      </c>
    </row>
    <row r="14" ht="15" customHeight="1">
      <c r="A14" s="9" t="inlineStr">
        <is>
          <t>06077764000161</t>
        </is>
      </c>
      <c r="B14" s="9" t="inlineStr">
        <is>
          <t>SECRETARIA DE EDUCACAO</t>
        </is>
      </c>
      <c r="C14" s="10" t="inlineStr">
        <is>
          <t>10.04.2026</t>
        </is>
      </c>
      <c r="D14" s="10" t="inlineStr">
        <is>
          <t>28</t>
        </is>
      </c>
      <c r="E14" s="11" t="inlineStr">
        <is>
          <t>✓</t>
        </is>
      </c>
      <c r="F14" s="10" t="inlineStr">
        <is>
          <t>140101</t>
        </is>
      </c>
      <c r="G14" s="12" t="n">
        <v>4216.04</v>
      </c>
      <c r="H14" s="12" t="n">
        <v>0</v>
      </c>
      <c r="I14" s="12" t="n">
        <v>0</v>
      </c>
      <c r="J14" s="12" t="n">
        <v>4216.04</v>
      </c>
      <c r="K14" s="10" t="inlineStr">
        <is>
          <t>Não Retido</t>
        </is>
      </c>
      <c r="L14" s="12" t="n">
        <v>0</v>
      </c>
      <c r="M14" s="13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3" t="n">
        <v>0</v>
      </c>
      <c r="T14" s="12" t="n">
        <v>0</v>
      </c>
      <c r="U14" s="12" t="n">
        <v>0</v>
      </c>
      <c r="V14" s="13" t="n">
        <v>0</v>
      </c>
      <c r="W14" s="12" t="n">
        <v>0</v>
      </c>
      <c r="X14" s="14" t="inlineStr">
        <is>
          <t>21053022240227362000134000000000002826041937335171</t>
        </is>
      </c>
    </row>
    <row r="15" ht="15" customHeight="1">
      <c r="A15" s="15" t="inlineStr">
        <is>
          <t>06077764000161</t>
        </is>
      </c>
      <c r="B15" s="15" t="inlineStr">
        <is>
          <t>SECRETARIA DE EDUCACAO</t>
        </is>
      </c>
      <c r="C15" s="16" t="inlineStr">
        <is>
          <t>10.04.2026</t>
        </is>
      </c>
      <c r="D15" s="16" t="inlineStr">
        <is>
          <t>27</t>
        </is>
      </c>
      <c r="E15" s="11" t="inlineStr">
        <is>
          <t>✓</t>
        </is>
      </c>
      <c r="F15" s="16" t="inlineStr">
        <is>
          <t>140101</t>
        </is>
      </c>
      <c r="G15" s="17" t="n">
        <v>7631.95</v>
      </c>
      <c r="H15" s="17" t="n">
        <v>0</v>
      </c>
      <c r="I15" s="17" t="n">
        <v>0</v>
      </c>
      <c r="J15" s="17" t="n">
        <v>7631.95</v>
      </c>
      <c r="K15" s="16" t="inlineStr">
        <is>
          <t>Não Retido</t>
        </is>
      </c>
      <c r="L15" s="17" t="n">
        <v>0</v>
      </c>
      <c r="M15" s="18" t="n">
        <v>0</v>
      </c>
      <c r="N15" s="17" t="n">
        <v>0</v>
      </c>
      <c r="O15" s="17" t="n">
        <v>0</v>
      </c>
      <c r="P15" s="17" t="n">
        <v>0</v>
      </c>
      <c r="Q15" s="17" t="n">
        <v>0</v>
      </c>
      <c r="R15" s="17" t="n">
        <v>0</v>
      </c>
      <c r="S15" s="18" t="n">
        <v>0</v>
      </c>
      <c r="T15" s="17" t="n">
        <v>0</v>
      </c>
      <c r="U15" s="17" t="n">
        <v>0</v>
      </c>
      <c r="V15" s="18" t="n">
        <v>0</v>
      </c>
      <c r="W15" s="17" t="n">
        <v>0</v>
      </c>
      <c r="X15" s="19" t="inlineStr">
        <is>
          <t>21053022240227362000134000000000002726042099887362</t>
        </is>
      </c>
    </row>
    <row r="16" ht="15" customHeight="1">
      <c r="A16" s="9" t="inlineStr">
        <is>
          <t>06077764000161</t>
        </is>
      </c>
      <c r="B16" s="9" t="inlineStr">
        <is>
          <t>SECRETARIA DE EDUCACAO</t>
        </is>
      </c>
      <c r="C16" s="10" t="inlineStr">
        <is>
          <t>10.04.2026</t>
        </is>
      </c>
      <c r="D16" s="10" t="inlineStr">
        <is>
          <t>26</t>
        </is>
      </c>
      <c r="E16" s="11" t="inlineStr">
        <is>
          <t>✓</t>
        </is>
      </c>
      <c r="F16" s="10" t="inlineStr">
        <is>
          <t>140101</t>
        </is>
      </c>
      <c r="G16" s="12" t="n">
        <v>5013.45</v>
      </c>
      <c r="H16" s="12" t="n">
        <v>0</v>
      </c>
      <c r="I16" s="12" t="n">
        <v>0</v>
      </c>
      <c r="J16" s="12" t="n">
        <v>5013.45</v>
      </c>
      <c r="K16" s="10" t="inlineStr">
        <is>
          <t>Não Retido</t>
        </is>
      </c>
      <c r="L16" s="12" t="n">
        <v>0</v>
      </c>
      <c r="M16" s="13" t="n">
        <v>0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3" t="n">
        <v>0</v>
      </c>
      <c r="T16" s="12" t="n">
        <v>0</v>
      </c>
      <c r="U16" s="12" t="n">
        <v>0</v>
      </c>
      <c r="V16" s="13" t="n">
        <v>0</v>
      </c>
      <c r="W16" s="12" t="n">
        <v>0</v>
      </c>
      <c r="X16" s="14" t="inlineStr">
        <is>
          <t>21053022240227362000134000000000002626047595016029</t>
        </is>
      </c>
    </row>
    <row r="17" ht="15" customHeight="1">
      <c r="A17" s="15" t="inlineStr">
        <is>
          <t>06077764000161</t>
        </is>
      </c>
      <c r="B17" s="15" t="inlineStr">
        <is>
          <t>SECRETARIA DE EDUCACAO</t>
        </is>
      </c>
      <c r="C17" s="16" t="inlineStr">
        <is>
          <t>10.04.2026</t>
        </is>
      </c>
      <c r="D17" s="16" t="inlineStr">
        <is>
          <t>25</t>
        </is>
      </c>
      <c r="E17" s="11" t="inlineStr">
        <is>
          <t>✓</t>
        </is>
      </c>
      <c r="F17" s="16" t="inlineStr">
        <is>
          <t>140101</t>
        </is>
      </c>
      <c r="G17" s="17" t="n">
        <v>6035.13</v>
      </c>
      <c r="H17" s="17" t="n">
        <v>0</v>
      </c>
      <c r="I17" s="17" t="n">
        <v>0</v>
      </c>
      <c r="J17" s="17" t="n">
        <v>6035.13</v>
      </c>
      <c r="K17" s="16" t="inlineStr">
        <is>
          <t>Não Retido</t>
        </is>
      </c>
      <c r="L17" s="17" t="n">
        <v>0</v>
      </c>
      <c r="M17" s="18" t="n">
        <v>0</v>
      </c>
      <c r="N17" s="17" t="n">
        <v>0</v>
      </c>
      <c r="O17" s="17" t="n">
        <v>0</v>
      </c>
      <c r="P17" s="17" t="n">
        <v>0</v>
      </c>
      <c r="Q17" s="17" t="n">
        <v>0</v>
      </c>
      <c r="R17" s="17" t="n">
        <v>0</v>
      </c>
      <c r="S17" s="18" t="n">
        <v>0</v>
      </c>
      <c r="T17" s="17" t="n">
        <v>0</v>
      </c>
      <c r="U17" s="17" t="n">
        <v>0</v>
      </c>
      <c r="V17" s="18" t="n">
        <v>0</v>
      </c>
      <c r="W17" s="17" t="n">
        <v>0</v>
      </c>
      <c r="X17" s="19" t="inlineStr">
        <is>
          <t>21053022240227362000134000000000002526043637312430</t>
        </is>
      </c>
    </row>
    <row r="18" ht="15" customHeight="1">
      <c r="A18" s="9" t="inlineStr">
        <is>
          <t>06077764000161</t>
        </is>
      </c>
      <c r="B18" s="9" t="inlineStr">
        <is>
          <t>SECRETARIA DE EDUCACAO</t>
        </is>
      </c>
      <c r="C18" s="10" t="inlineStr">
        <is>
          <t>10.04.2026</t>
        </is>
      </c>
      <c r="D18" s="10" t="inlineStr">
        <is>
          <t>24</t>
        </is>
      </c>
      <c r="E18" s="11" t="inlineStr">
        <is>
          <t>✓</t>
        </is>
      </c>
      <c r="F18" s="10" t="inlineStr">
        <is>
          <t>140101</t>
        </is>
      </c>
      <c r="G18" s="12" t="n">
        <v>10613.32</v>
      </c>
      <c r="H18" s="12" t="n">
        <v>0</v>
      </c>
      <c r="I18" s="12" t="n">
        <v>0</v>
      </c>
      <c r="J18" s="12" t="n">
        <v>10613.32</v>
      </c>
      <c r="K18" s="10" t="inlineStr">
        <is>
          <t>Não Retido</t>
        </is>
      </c>
      <c r="L18" s="12" t="n">
        <v>0</v>
      </c>
      <c r="M18" s="13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3" t="n">
        <v>0</v>
      </c>
      <c r="T18" s="12" t="n">
        <v>0</v>
      </c>
      <c r="U18" s="12" t="n">
        <v>0</v>
      </c>
      <c r="V18" s="13" t="n">
        <v>0</v>
      </c>
      <c r="W18" s="12" t="n">
        <v>0</v>
      </c>
      <c r="X18" s="14" t="inlineStr">
        <is>
          <t>21053022240227362000134000000000002426047355652071</t>
        </is>
      </c>
    </row>
    <row r="19" ht="15" customHeight="1">
      <c r="A19" s="15" t="inlineStr">
        <is>
          <t>06077764000161</t>
        </is>
      </c>
      <c r="B19" s="15" t="inlineStr">
        <is>
          <t>SECRETARIA DE EDUCACAO</t>
        </is>
      </c>
      <c r="C19" s="16" t="inlineStr">
        <is>
          <t>10.04.2026</t>
        </is>
      </c>
      <c r="D19" s="16" t="inlineStr">
        <is>
          <t>23</t>
        </is>
      </c>
      <c r="E19" s="11" t="inlineStr">
        <is>
          <t>✓</t>
        </is>
      </c>
      <c r="F19" s="16" t="inlineStr">
        <is>
          <t>140101</t>
        </is>
      </c>
      <c r="G19" s="17" t="n">
        <v>13817.68</v>
      </c>
      <c r="H19" s="17" t="n">
        <v>0</v>
      </c>
      <c r="I19" s="17" t="n">
        <v>0</v>
      </c>
      <c r="J19" s="17" t="n">
        <v>13817.68</v>
      </c>
      <c r="K19" s="16" t="inlineStr">
        <is>
          <t>Não Retido</t>
        </is>
      </c>
      <c r="L19" s="17" t="n">
        <v>0</v>
      </c>
      <c r="M19" s="18" t="n">
        <v>0</v>
      </c>
      <c r="N19" s="17" t="n">
        <v>0</v>
      </c>
      <c r="O19" s="17" t="n">
        <v>0</v>
      </c>
      <c r="P19" s="17" t="n">
        <v>0</v>
      </c>
      <c r="Q19" s="17" t="n">
        <v>0</v>
      </c>
      <c r="R19" s="17" t="n">
        <v>0</v>
      </c>
      <c r="S19" s="18" t="n">
        <v>0</v>
      </c>
      <c r="T19" s="17" t="n">
        <v>0</v>
      </c>
      <c r="U19" s="17" t="n">
        <v>0</v>
      </c>
      <c r="V19" s="18" t="n">
        <v>0</v>
      </c>
      <c r="W19" s="17" t="n">
        <v>0</v>
      </c>
      <c r="X19" s="19" t="inlineStr">
        <is>
          <t>21053022240227362000134000000000002326046468865028</t>
        </is>
      </c>
    </row>
    <row r="20" ht="15" customHeight="1">
      <c r="A20" s="9" t="inlineStr">
        <is>
          <t>06077764000161</t>
        </is>
      </c>
      <c r="B20" s="9" t="inlineStr">
        <is>
          <t>SECRETARIA DE EDUCACAO</t>
        </is>
      </c>
      <c r="C20" s="10" t="inlineStr">
        <is>
          <t>10.04.2026</t>
        </is>
      </c>
      <c r="D20" s="10" t="inlineStr">
        <is>
          <t>22</t>
        </is>
      </c>
      <c r="E20" s="11" t="inlineStr">
        <is>
          <t>✓</t>
        </is>
      </c>
      <c r="F20" s="10" t="inlineStr">
        <is>
          <t>140101</t>
        </is>
      </c>
      <c r="G20" s="12" t="n">
        <v>12657.79</v>
      </c>
      <c r="H20" s="12" t="n">
        <v>0</v>
      </c>
      <c r="I20" s="12" t="n">
        <v>0</v>
      </c>
      <c r="J20" s="12" t="n">
        <v>12657.79</v>
      </c>
      <c r="K20" s="10" t="inlineStr">
        <is>
          <t>Não Retido</t>
        </is>
      </c>
      <c r="L20" s="12" t="n">
        <v>0</v>
      </c>
      <c r="M20" s="13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3" t="n">
        <v>0</v>
      </c>
      <c r="T20" s="12" t="n">
        <v>0</v>
      </c>
      <c r="U20" s="12" t="n">
        <v>0</v>
      </c>
      <c r="V20" s="13" t="n">
        <v>0</v>
      </c>
      <c r="W20" s="12" t="n">
        <v>0</v>
      </c>
      <c r="X20" s="14" t="inlineStr">
        <is>
          <t>21053022240227362000134000000000002226041168495131</t>
        </is>
      </c>
    </row>
    <row r="21" ht="15" customHeight="1">
      <c r="A21" s="15" t="inlineStr">
        <is>
          <t>05631031000164</t>
        </is>
      </c>
      <c r="B21" s="15" t="inlineStr">
        <is>
          <t>MUNICIPIO DE SITIO NOVO</t>
        </is>
      </c>
      <c r="C21" s="16" t="inlineStr">
        <is>
          <t>10.04.2026</t>
        </is>
      </c>
      <c r="D21" s="16" t="inlineStr">
        <is>
          <t>21</t>
        </is>
      </c>
      <c r="E21" s="11" t="inlineStr">
        <is>
          <t>✓</t>
        </is>
      </c>
      <c r="F21" s="16" t="inlineStr">
        <is>
          <t>140101</t>
        </is>
      </c>
      <c r="G21" s="17" t="n">
        <v>1629.84</v>
      </c>
      <c r="H21" s="17" t="n">
        <v>0</v>
      </c>
      <c r="I21" s="17" t="n">
        <v>0</v>
      </c>
      <c r="J21" s="17" t="n">
        <v>1629.84</v>
      </c>
      <c r="K21" s="16" t="inlineStr">
        <is>
          <t>Não Retido</t>
        </is>
      </c>
      <c r="L21" s="17" t="n">
        <v>0</v>
      </c>
      <c r="M21" s="18" t="n">
        <v>0</v>
      </c>
      <c r="N21" s="17" t="n">
        <v>0</v>
      </c>
      <c r="O21" s="17" t="n">
        <v>0</v>
      </c>
      <c r="P21" s="17" t="n">
        <v>0</v>
      </c>
      <c r="Q21" s="17" t="n">
        <v>0</v>
      </c>
      <c r="R21" s="17" t="n">
        <v>0</v>
      </c>
      <c r="S21" s="18" t="n">
        <v>0</v>
      </c>
      <c r="T21" s="17" t="n">
        <v>0</v>
      </c>
      <c r="U21" s="17" t="n">
        <v>0</v>
      </c>
      <c r="V21" s="18" t="n">
        <v>0</v>
      </c>
      <c r="W21" s="17" t="n">
        <v>0</v>
      </c>
      <c r="X21" s="19" t="inlineStr">
        <is>
          <t>21053022240227362000134000000000002126043521319426</t>
        </is>
      </c>
    </row>
    <row r="22" ht="15" customHeight="1">
      <c r="A22" s="9" t="inlineStr">
        <is>
          <t>05631031000164</t>
        </is>
      </c>
      <c r="B22" s="9" t="inlineStr">
        <is>
          <t>MUNICIPIO DE SITIO NOVO</t>
        </is>
      </c>
      <c r="C22" s="10" t="inlineStr">
        <is>
          <t>10.04.2026</t>
        </is>
      </c>
      <c r="D22" s="10" t="inlineStr">
        <is>
          <t>20</t>
        </is>
      </c>
      <c r="E22" s="11" t="inlineStr">
        <is>
          <t>✓</t>
        </is>
      </c>
      <c r="F22" s="10" t="inlineStr">
        <is>
          <t>140101</t>
        </is>
      </c>
      <c r="G22" s="12" t="n">
        <v>6213.47</v>
      </c>
      <c r="H22" s="12" t="n">
        <v>0</v>
      </c>
      <c r="I22" s="12" t="n">
        <v>0</v>
      </c>
      <c r="J22" s="12" t="n">
        <v>6213.47</v>
      </c>
      <c r="K22" s="10" t="inlineStr">
        <is>
          <t>Não Retido</t>
        </is>
      </c>
      <c r="L22" s="12" t="n">
        <v>0</v>
      </c>
      <c r="M22" s="13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3" t="n">
        <v>0</v>
      </c>
      <c r="T22" s="12" t="n">
        <v>0</v>
      </c>
      <c r="U22" s="12" t="n">
        <v>0</v>
      </c>
      <c r="V22" s="13" t="n">
        <v>0</v>
      </c>
      <c r="W22" s="12" t="n">
        <v>0</v>
      </c>
      <c r="X22" s="14" t="inlineStr">
        <is>
          <t>21053022240227362000134000000000002026045917475800</t>
        </is>
      </c>
    </row>
    <row r="23" ht="15" customHeight="1">
      <c r="A23" s="15" t="inlineStr">
        <is>
          <t>05631031000164</t>
        </is>
      </c>
      <c r="B23" s="15" t="inlineStr">
        <is>
          <t>MUNICIPIO DE SITIO NOVO</t>
        </is>
      </c>
      <c r="C23" s="16" t="inlineStr">
        <is>
          <t>10.04.2026</t>
        </is>
      </c>
      <c r="D23" s="16" t="inlineStr">
        <is>
          <t>19</t>
        </is>
      </c>
      <c r="E23" s="11" t="inlineStr">
        <is>
          <t>✓</t>
        </is>
      </c>
      <c r="F23" s="16" t="inlineStr">
        <is>
          <t>140101</t>
        </is>
      </c>
      <c r="G23" s="17" t="n">
        <v>2477.39</v>
      </c>
      <c r="H23" s="17" t="n">
        <v>0</v>
      </c>
      <c r="I23" s="17" t="n">
        <v>0</v>
      </c>
      <c r="J23" s="17" t="n">
        <v>2477.39</v>
      </c>
      <c r="K23" s="16" t="inlineStr">
        <is>
          <t>Não Retido</t>
        </is>
      </c>
      <c r="L23" s="17" t="n">
        <v>0</v>
      </c>
      <c r="M23" s="18" t="n">
        <v>0</v>
      </c>
      <c r="N23" s="17" t="n">
        <v>0</v>
      </c>
      <c r="O23" s="17" t="n">
        <v>0</v>
      </c>
      <c r="P23" s="17" t="n">
        <v>0</v>
      </c>
      <c r="Q23" s="17" t="n">
        <v>0</v>
      </c>
      <c r="R23" s="17" t="n">
        <v>0</v>
      </c>
      <c r="S23" s="18" t="n">
        <v>0</v>
      </c>
      <c r="T23" s="17" t="n">
        <v>0</v>
      </c>
      <c r="U23" s="17" t="n">
        <v>0</v>
      </c>
      <c r="V23" s="18" t="n">
        <v>0</v>
      </c>
      <c r="W23" s="17" t="n">
        <v>0</v>
      </c>
      <c r="X23" s="19" t="inlineStr">
        <is>
          <t>21053022240227362000134000000000001926048149831083</t>
        </is>
      </c>
    </row>
    <row r="24" ht="15" customHeight="1">
      <c r="A24" s="9" t="inlineStr">
        <is>
          <t>05631031000164</t>
        </is>
      </c>
      <c r="B24" s="9" t="inlineStr">
        <is>
          <t>MUNICIPIO DE SITIO NOVO</t>
        </is>
      </c>
      <c r="C24" s="10" t="inlineStr">
        <is>
          <t>10.04.2026</t>
        </is>
      </c>
      <c r="D24" s="10" t="inlineStr">
        <is>
          <t>18</t>
        </is>
      </c>
      <c r="E24" s="11" t="inlineStr">
        <is>
          <t>✓</t>
        </is>
      </c>
      <c r="F24" s="10" t="inlineStr">
        <is>
          <t>140101</t>
        </is>
      </c>
      <c r="G24" s="12" t="n">
        <v>6615.42</v>
      </c>
      <c r="H24" s="12" t="n">
        <v>0</v>
      </c>
      <c r="I24" s="12" t="n">
        <v>0</v>
      </c>
      <c r="J24" s="12" t="n">
        <v>6615.42</v>
      </c>
      <c r="K24" s="10" t="inlineStr">
        <is>
          <t>Não Retido</t>
        </is>
      </c>
      <c r="L24" s="12" t="n">
        <v>0</v>
      </c>
      <c r="M24" s="13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3" t="n">
        <v>0</v>
      </c>
      <c r="T24" s="12" t="n">
        <v>0</v>
      </c>
      <c r="U24" s="12" t="n">
        <v>0</v>
      </c>
      <c r="V24" s="13" t="n">
        <v>0</v>
      </c>
      <c r="W24" s="12" t="n">
        <v>0</v>
      </c>
      <c r="X24" s="14" t="inlineStr">
        <is>
          <t>21053022240227362000134000000000001826044549360766</t>
        </is>
      </c>
    </row>
    <row r="25" ht="15" customHeight="1">
      <c r="A25" s="20" t="inlineStr"/>
      <c r="B25" s="20" t="inlineStr">
        <is>
          <t>Tomador e Intermediário não identificados</t>
        </is>
      </c>
      <c r="C25" s="21" t="inlineStr">
        <is>
          <t>10.04.2026</t>
        </is>
      </c>
      <c r="D25" s="21" t="inlineStr">
        <is>
          <t>17</t>
        </is>
      </c>
      <c r="E25" s="22" t="inlineStr">
        <is>
          <t>✗  Cancelada</t>
        </is>
      </c>
      <c r="F25" s="21" t="inlineStr">
        <is>
          <t>140101</t>
        </is>
      </c>
      <c r="G25" s="23" t="n">
        <v>0</v>
      </c>
      <c r="H25" s="23" t="n">
        <v>0</v>
      </c>
      <c r="I25" s="23" t="n">
        <v>0</v>
      </c>
      <c r="J25" s="23" t="n">
        <v>0</v>
      </c>
      <c r="K25" s="21" t="inlineStr"/>
      <c r="L25" s="23" t="n">
        <v>0</v>
      </c>
      <c r="M25" s="24" t="n">
        <v>0</v>
      </c>
      <c r="N25" s="23" t="n">
        <v>0</v>
      </c>
      <c r="O25" s="23" t="n">
        <v>0</v>
      </c>
      <c r="P25" s="23" t="n">
        <v>0</v>
      </c>
      <c r="Q25" s="23" t="n">
        <v>0</v>
      </c>
      <c r="R25" s="23" t="n">
        <v>0</v>
      </c>
      <c r="S25" s="24" t="n">
        <v>0</v>
      </c>
      <c r="T25" s="23" t="n">
        <v>0</v>
      </c>
      <c r="U25" s="23" t="n">
        <v>0</v>
      </c>
      <c r="V25" s="24" t="n">
        <v>0</v>
      </c>
      <c r="W25" s="23" t="n">
        <v>0</v>
      </c>
      <c r="X25" s="25" t="inlineStr">
        <is>
          <t>21053022240227362000134000000000001726048526838260</t>
        </is>
      </c>
    </row>
    <row r="26" ht="15" customHeight="1">
      <c r="A26" s="9" t="inlineStr">
        <is>
          <t>05631031000164</t>
        </is>
      </c>
      <c r="B26" s="9" t="inlineStr">
        <is>
          <t>MUNICIPIO DE SITIO NOVO</t>
        </is>
      </c>
      <c r="C26" s="10" t="inlineStr">
        <is>
          <t>10.04.2026</t>
        </is>
      </c>
      <c r="D26" s="10" t="inlineStr">
        <is>
          <t>16</t>
        </is>
      </c>
      <c r="E26" s="11" t="inlineStr">
        <is>
          <t>✓</t>
        </is>
      </c>
      <c r="F26" s="10" t="inlineStr">
        <is>
          <t>140101</t>
        </is>
      </c>
      <c r="G26" s="12" t="n">
        <v>3830.84</v>
      </c>
      <c r="H26" s="12" t="n">
        <v>0</v>
      </c>
      <c r="I26" s="12" t="n">
        <v>0</v>
      </c>
      <c r="J26" s="12" t="n">
        <v>3830.84</v>
      </c>
      <c r="K26" s="10" t="inlineStr">
        <is>
          <t>Não Retido</t>
        </is>
      </c>
      <c r="L26" s="12" t="n">
        <v>0</v>
      </c>
      <c r="M26" s="13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3" t="n">
        <v>0</v>
      </c>
      <c r="T26" s="12" t="n">
        <v>0</v>
      </c>
      <c r="U26" s="12" t="n">
        <v>0</v>
      </c>
      <c r="V26" s="13" t="n">
        <v>0</v>
      </c>
      <c r="W26" s="12" t="n">
        <v>0</v>
      </c>
      <c r="X26" s="14" t="inlineStr">
        <is>
          <t>21053022240227362000134000000000001626046941064471</t>
        </is>
      </c>
    </row>
    <row r="27" ht="15" customHeight="1">
      <c r="A27" s="15" t="inlineStr">
        <is>
          <t>05631031000164</t>
        </is>
      </c>
      <c r="B27" s="15" t="inlineStr">
        <is>
          <t>MUNICIPIO DE SITIO NOVO</t>
        </is>
      </c>
      <c r="C27" s="16" t="inlineStr">
        <is>
          <t>10.04.2026</t>
        </is>
      </c>
      <c r="D27" s="16" t="inlineStr">
        <is>
          <t>15</t>
        </is>
      </c>
      <c r="E27" s="11" t="inlineStr">
        <is>
          <t>✓</t>
        </is>
      </c>
      <c r="F27" s="16" t="inlineStr">
        <is>
          <t>140101</t>
        </is>
      </c>
      <c r="G27" s="17" t="n">
        <v>3582.69</v>
      </c>
      <c r="H27" s="17" t="n">
        <v>0</v>
      </c>
      <c r="I27" s="17" t="n">
        <v>0</v>
      </c>
      <c r="J27" s="17" t="n">
        <v>3582.69</v>
      </c>
      <c r="K27" s="16" t="inlineStr">
        <is>
          <t>Não Retido</t>
        </is>
      </c>
      <c r="L27" s="17" t="n">
        <v>0</v>
      </c>
      <c r="M27" s="18" t="n">
        <v>0</v>
      </c>
      <c r="N27" s="17" t="n">
        <v>0</v>
      </c>
      <c r="O27" s="17" t="n">
        <v>0</v>
      </c>
      <c r="P27" s="17" t="n">
        <v>0</v>
      </c>
      <c r="Q27" s="17" t="n">
        <v>0</v>
      </c>
      <c r="R27" s="17" t="n">
        <v>0</v>
      </c>
      <c r="S27" s="18" t="n">
        <v>0</v>
      </c>
      <c r="T27" s="17" t="n">
        <v>0</v>
      </c>
      <c r="U27" s="17" t="n">
        <v>0</v>
      </c>
      <c r="V27" s="18" t="n">
        <v>0</v>
      </c>
      <c r="W27" s="17" t="n">
        <v>0</v>
      </c>
      <c r="X27" s="19" t="inlineStr">
        <is>
          <t>21053022240227362000134000000000001526046844128521</t>
        </is>
      </c>
    </row>
    <row r="28" ht="15" customHeight="1">
      <c r="A28" s="9" t="inlineStr">
        <is>
          <t>05631031000164</t>
        </is>
      </c>
      <c r="B28" s="9" t="inlineStr">
        <is>
          <t>MUNICIPIO DE SITIO NOVO</t>
        </is>
      </c>
      <c r="C28" s="10" t="inlineStr">
        <is>
          <t>10.04.2026</t>
        </is>
      </c>
      <c r="D28" s="10" t="inlineStr">
        <is>
          <t>14</t>
        </is>
      </c>
      <c r="E28" s="11" t="inlineStr">
        <is>
          <t>✓</t>
        </is>
      </c>
      <c r="F28" s="10" t="inlineStr">
        <is>
          <t>140101</t>
        </is>
      </c>
      <c r="G28" s="12" t="n">
        <v>2992.65</v>
      </c>
      <c r="H28" s="12" t="n">
        <v>0</v>
      </c>
      <c r="I28" s="12" t="n">
        <v>0</v>
      </c>
      <c r="J28" s="12" t="n">
        <v>2992.65</v>
      </c>
      <c r="K28" s="10" t="inlineStr">
        <is>
          <t>Não Retido</t>
        </is>
      </c>
      <c r="L28" s="12" t="n">
        <v>0</v>
      </c>
      <c r="M28" s="13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3" t="n">
        <v>0</v>
      </c>
      <c r="T28" s="12" t="n">
        <v>0</v>
      </c>
      <c r="U28" s="12" t="n">
        <v>0</v>
      </c>
      <c r="V28" s="13" t="n">
        <v>0</v>
      </c>
      <c r="W28" s="12" t="n">
        <v>0</v>
      </c>
      <c r="X28" s="14" t="inlineStr">
        <is>
          <t>21053022240227362000134000000000001426040563177291</t>
        </is>
      </c>
    </row>
    <row r="29" ht="15" customHeight="1">
      <c r="A29" s="15" t="inlineStr">
        <is>
          <t>05631031000164</t>
        </is>
      </c>
      <c r="B29" s="15" t="inlineStr">
        <is>
          <t>MUNICIPIO DE SITIO NOVO</t>
        </is>
      </c>
      <c r="C29" s="16" t="inlineStr">
        <is>
          <t>10.04.2026</t>
        </is>
      </c>
      <c r="D29" s="16" t="inlineStr">
        <is>
          <t>13</t>
        </is>
      </c>
      <c r="E29" s="11" t="inlineStr">
        <is>
          <t>✓</t>
        </is>
      </c>
      <c r="F29" s="16" t="inlineStr">
        <is>
          <t>140101</t>
        </is>
      </c>
      <c r="G29" s="17" t="n">
        <v>3906.32</v>
      </c>
      <c r="H29" s="17" t="n">
        <v>0</v>
      </c>
      <c r="I29" s="17" t="n">
        <v>0</v>
      </c>
      <c r="J29" s="17" t="n">
        <v>3906.32</v>
      </c>
      <c r="K29" s="16" t="inlineStr">
        <is>
          <t>Não Retido</t>
        </is>
      </c>
      <c r="L29" s="17" t="n">
        <v>0</v>
      </c>
      <c r="M29" s="18" t="n">
        <v>0</v>
      </c>
      <c r="N29" s="17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8" t="n">
        <v>0</v>
      </c>
      <c r="T29" s="17" t="n">
        <v>0</v>
      </c>
      <c r="U29" s="17" t="n">
        <v>0</v>
      </c>
      <c r="V29" s="18" t="n">
        <v>0</v>
      </c>
      <c r="W29" s="17" t="n">
        <v>0</v>
      </c>
      <c r="X29" s="19" t="inlineStr">
        <is>
          <t>21053022240227362000134000000000001326044740411100</t>
        </is>
      </c>
    </row>
    <row r="30" ht="15" customHeight="1">
      <c r="A30" s="9" t="inlineStr">
        <is>
          <t>05631031000164</t>
        </is>
      </c>
      <c r="B30" s="9" t="inlineStr">
        <is>
          <t>MUNICIPIO DE SITIO NOVO</t>
        </is>
      </c>
      <c r="C30" s="10" t="inlineStr">
        <is>
          <t>10.04.2026</t>
        </is>
      </c>
      <c r="D30" s="10" t="inlineStr">
        <is>
          <t>12</t>
        </is>
      </c>
      <c r="E30" s="11" t="inlineStr">
        <is>
          <t>✓</t>
        </is>
      </c>
      <c r="F30" s="10" t="inlineStr">
        <is>
          <t>140101</t>
        </is>
      </c>
      <c r="G30" s="12" t="n">
        <v>2655.68</v>
      </c>
      <c r="H30" s="12" t="n">
        <v>0</v>
      </c>
      <c r="I30" s="12" t="n">
        <v>0</v>
      </c>
      <c r="J30" s="12" t="n">
        <v>2655.68</v>
      </c>
      <c r="K30" s="10" t="inlineStr">
        <is>
          <t>Não Retido</t>
        </is>
      </c>
      <c r="L30" s="12" t="n">
        <v>0</v>
      </c>
      <c r="M30" s="13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3" t="n">
        <v>0</v>
      </c>
      <c r="T30" s="12" t="n">
        <v>0</v>
      </c>
      <c r="U30" s="12" t="n">
        <v>0</v>
      </c>
      <c r="V30" s="13" t="n">
        <v>0</v>
      </c>
      <c r="W30" s="12" t="n">
        <v>0</v>
      </c>
      <c r="X30" s="14" t="inlineStr">
        <is>
          <t>21053022240227362000134000000000001226047306528052</t>
        </is>
      </c>
    </row>
    <row r="31" ht="15" customHeight="1">
      <c r="A31" s="15" t="inlineStr">
        <is>
          <t>05631031000164</t>
        </is>
      </c>
      <c r="B31" s="15" t="inlineStr">
        <is>
          <t>MUNICIPIO DE SITIO NOVO</t>
        </is>
      </c>
      <c r="C31" s="16" t="inlineStr">
        <is>
          <t>10.04.2026</t>
        </is>
      </c>
      <c r="D31" s="16" t="inlineStr">
        <is>
          <t>11</t>
        </is>
      </c>
      <c r="E31" s="11" t="inlineStr">
        <is>
          <t>✓</t>
        </is>
      </c>
      <c r="F31" s="16" t="inlineStr">
        <is>
          <t>140101</t>
        </is>
      </c>
      <c r="G31" s="17" t="n">
        <v>2433.33</v>
      </c>
      <c r="H31" s="17" t="n">
        <v>0</v>
      </c>
      <c r="I31" s="17" t="n">
        <v>0</v>
      </c>
      <c r="J31" s="17" t="n">
        <v>2433.33</v>
      </c>
      <c r="K31" s="16" t="inlineStr">
        <is>
          <t>Não Retido</t>
        </is>
      </c>
      <c r="L31" s="17" t="n">
        <v>0</v>
      </c>
      <c r="M31" s="18" t="n">
        <v>0</v>
      </c>
      <c r="N31" s="17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8" t="n">
        <v>0</v>
      </c>
      <c r="T31" s="17" t="n">
        <v>0</v>
      </c>
      <c r="U31" s="17" t="n">
        <v>0</v>
      </c>
      <c r="V31" s="18" t="n">
        <v>0</v>
      </c>
      <c r="W31" s="17" t="n">
        <v>0</v>
      </c>
      <c r="X31" s="19" t="inlineStr">
        <is>
          <t>21053022240227362000134000000000001126042098398827</t>
        </is>
      </c>
    </row>
    <row r="32" ht="15" customHeight="1">
      <c r="A32" s="9" t="inlineStr">
        <is>
          <t>05631031000164</t>
        </is>
      </c>
      <c r="B32" s="9" t="inlineStr">
        <is>
          <t>MUNICIPIO DE SITIO NOVO</t>
        </is>
      </c>
      <c r="C32" s="10" t="inlineStr">
        <is>
          <t>10.04.2026</t>
        </is>
      </c>
      <c r="D32" s="10" t="inlineStr">
        <is>
          <t>10</t>
        </is>
      </c>
      <c r="E32" s="11" t="inlineStr">
        <is>
          <t>✓</t>
        </is>
      </c>
      <c r="F32" s="10" t="inlineStr">
        <is>
          <t>140101</t>
        </is>
      </c>
      <c r="G32" s="12" t="n">
        <v>5130.02</v>
      </c>
      <c r="H32" s="12" t="n">
        <v>0</v>
      </c>
      <c r="I32" s="12" t="n">
        <v>0</v>
      </c>
      <c r="J32" s="12" t="n">
        <v>5130.02</v>
      </c>
      <c r="K32" s="10" t="inlineStr">
        <is>
          <t>Não Retido</t>
        </is>
      </c>
      <c r="L32" s="12" t="n">
        <v>0</v>
      </c>
      <c r="M32" s="13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3" t="n">
        <v>0</v>
      </c>
      <c r="T32" s="12" t="n">
        <v>0</v>
      </c>
      <c r="U32" s="12" t="n">
        <v>0</v>
      </c>
      <c r="V32" s="13" t="n">
        <v>0</v>
      </c>
      <c r="W32" s="12" t="n">
        <v>0</v>
      </c>
      <c r="X32" s="14" t="inlineStr">
        <is>
          <t>21053022240227362000134000000000001026048239666976</t>
        </is>
      </c>
    </row>
    <row r="33" ht="15" customHeight="1">
      <c r="A33" s="26" t="inlineStr">
        <is>
          <t>05631031000164</t>
        </is>
      </c>
      <c r="B33" s="26" t="inlineStr">
        <is>
          <t>MUNICIPIO DE SITIO NOVO</t>
        </is>
      </c>
      <c r="C33" s="27" t="inlineStr">
        <is>
          <t>10.04.2026</t>
        </is>
      </c>
      <c r="D33" s="27" t="inlineStr">
        <is>
          <t>9</t>
        </is>
      </c>
      <c r="E33" s="28" t="inlineStr">
        <is>
          <t>↺  Substituída</t>
        </is>
      </c>
      <c r="F33" s="27" t="inlineStr">
        <is>
          <t>140101</t>
        </is>
      </c>
      <c r="G33" s="29" t="n">
        <v>2655.68</v>
      </c>
      <c r="H33" s="29" t="n">
        <v>0</v>
      </c>
      <c r="I33" s="29" t="n">
        <v>0</v>
      </c>
      <c r="J33" s="29" t="n">
        <v>2655.68</v>
      </c>
      <c r="K33" s="27" t="inlineStr">
        <is>
          <t>Não Retido</t>
        </is>
      </c>
      <c r="L33" s="29" t="n">
        <v>0</v>
      </c>
      <c r="M33" s="30" t="n">
        <v>0</v>
      </c>
      <c r="N33" s="29" t="n">
        <v>0</v>
      </c>
      <c r="O33" s="29" t="n">
        <v>0</v>
      </c>
      <c r="P33" s="29" t="n">
        <v>0</v>
      </c>
      <c r="Q33" s="29" t="n">
        <v>0</v>
      </c>
      <c r="R33" s="29" t="n">
        <v>0</v>
      </c>
      <c r="S33" s="30" t="n">
        <v>0</v>
      </c>
      <c r="T33" s="29" t="n">
        <v>0</v>
      </c>
      <c r="U33" s="29" t="n">
        <v>0</v>
      </c>
      <c r="V33" s="30" t="n">
        <v>0</v>
      </c>
      <c r="W33" s="29" t="n">
        <v>0</v>
      </c>
      <c r="X33" s="31" t="inlineStr">
        <is>
          <t>21053022240227362000134000000000000926047540748414</t>
        </is>
      </c>
    </row>
    <row r="34" ht="15" customHeight="1">
      <c r="A34" s="26" t="inlineStr">
        <is>
          <t>05631031000164</t>
        </is>
      </c>
      <c r="B34" s="26" t="inlineStr">
        <is>
          <t>MUNICIPIO DE SITIO NOVO</t>
        </is>
      </c>
      <c r="C34" s="27" t="inlineStr">
        <is>
          <t>10.04.2026</t>
        </is>
      </c>
      <c r="D34" s="27" t="inlineStr">
        <is>
          <t>8</t>
        </is>
      </c>
      <c r="E34" s="28" t="inlineStr">
        <is>
          <t>↺  Substituída</t>
        </is>
      </c>
      <c r="F34" s="27" t="inlineStr">
        <is>
          <t>140101</t>
        </is>
      </c>
      <c r="G34" s="29" t="n">
        <v>3906.32</v>
      </c>
      <c r="H34" s="29" t="n">
        <v>0</v>
      </c>
      <c r="I34" s="29" t="n">
        <v>0</v>
      </c>
      <c r="J34" s="29" t="n">
        <v>3906.32</v>
      </c>
      <c r="K34" s="27" t="inlineStr">
        <is>
          <t>Não Retido</t>
        </is>
      </c>
      <c r="L34" s="29" t="n">
        <v>0</v>
      </c>
      <c r="M34" s="30" t="n">
        <v>0</v>
      </c>
      <c r="N34" s="29" t="n">
        <v>0</v>
      </c>
      <c r="O34" s="29" t="n">
        <v>0</v>
      </c>
      <c r="P34" s="29" t="n">
        <v>0</v>
      </c>
      <c r="Q34" s="29" t="n">
        <v>0</v>
      </c>
      <c r="R34" s="29" t="n">
        <v>0</v>
      </c>
      <c r="S34" s="30" t="n">
        <v>0</v>
      </c>
      <c r="T34" s="29" t="n">
        <v>0</v>
      </c>
      <c r="U34" s="29" t="n">
        <v>0</v>
      </c>
      <c r="V34" s="30" t="n">
        <v>0</v>
      </c>
      <c r="W34" s="29" t="n">
        <v>0</v>
      </c>
      <c r="X34" s="31" t="inlineStr">
        <is>
          <t>21053022240227362000134000000000000826042746539409</t>
        </is>
      </c>
    </row>
    <row r="35" ht="15" customHeight="1">
      <c r="A35" s="15" t="inlineStr">
        <is>
          <t>13911662000165</t>
        </is>
      </c>
      <c r="B35" s="15" t="inlineStr">
        <is>
          <t>MUNICIPIO DE SITIO NOVO - FUNDO MUNICIPAL DE SAUDE</t>
        </is>
      </c>
      <c r="C35" s="16" t="inlineStr">
        <is>
          <t>11.04.2026</t>
        </is>
      </c>
      <c r="D35" s="16" t="inlineStr">
        <is>
          <t>40</t>
        </is>
      </c>
      <c r="E35" s="11" t="inlineStr">
        <is>
          <t>✓</t>
        </is>
      </c>
      <c r="F35" s="16" t="inlineStr">
        <is>
          <t>140101</t>
        </is>
      </c>
      <c r="G35" s="17" t="n">
        <v>5763.98</v>
      </c>
      <c r="H35" s="17" t="n">
        <v>0</v>
      </c>
      <c r="I35" s="17" t="n">
        <v>0</v>
      </c>
      <c r="J35" s="17" t="n">
        <v>5763.98</v>
      </c>
      <c r="K35" s="16" t="inlineStr">
        <is>
          <t>Não Retido</t>
        </is>
      </c>
      <c r="L35" s="17" t="n">
        <v>0</v>
      </c>
      <c r="M35" s="18" t="n">
        <v>0</v>
      </c>
      <c r="N35" s="17" t="n">
        <v>0</v>
      </c>
      <c r="O35" s="17" t="n">
        <v>0</v>
      </c>
      <c r="P35" s="17" t="n">
        <v>0</v>
      </c>
      <c r="Q35" s="17" t="n">
        <v>0</v>
      </c>
      <c r="R35" s="17" t="n">
        <v>0</v>
      </c>
      <c r="S35" s="18" t="n">
        <v>0</v>
      </c>
      <c r="T35" s="17" t="n">
        <v>0</v>
      </c>
      <c r="U35" s="17" t="n">
        <v>0</v>
      </c>
      <c r="V35" s="18" t="n">
        <v>0</v>
      </c>
      <c r="W35" s="17" t="n">
        <v>0</v>
      </c>
      <c r="X35" s="19" t="inlineStr">
        <is>
          <t>21053022240227362000134000000000004026041157075126</t>
        </is>
      </c>
    </row>
    <row r="36" ht="15" customHeight="1">
      <c r="A36" s="9" t="inlineStr">
        <is>
          <t>13911662000165</t>
        </is>
      </c>
      <c r="B36" s="9" t="inlineStr">
        <is>
          <t>MUNICIPIO DE SITIO NOVO - FUNDO MUNICIPAL DE SAUDE</t>
        </is>
      </c>
      <c r="C36" s="10" t="inlineStr">
        <is>
          <t>11.04.2026</t>
        </is>
      </c>
      <c r="D36" s="10" t="inlineStr">
        <is>
          <t>39</t>
        </is>
      </c>
      <c r="E36" s="11" t="inlineStr">
        <is>
          <t>✓</t>
        </is>
      </c>
      <c r="F36" s="10" t="inlineStr">
        <is>
          <t>140101</t>
        </is>
      </c>
      <c r="G36" s="12" t="n">
        <v>5646.89</v>
      </c>
      <c r="H36" s="12" t="n">
        <v>0</v>
      </c>
      <c r="I36" s="12" t="n">
        <v>0</v>
      </c>
      <c r="J36" s="12" t="n">
        <v>5646.89</v>
      </c>
      <c r="K36" s="10" t="inlineStr">
        <is>
          <t>Não Retido</t>
        </is>
      </c>
      <c r="L36" s="12" t="n">
        <v>0</v>
      </c>
      <c r="M36" s="13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3" t="n">
        <v>0</v>
      </c>
      <c r="T36" s="12" t="n">
        <v>0</v>
      </c>
      <c r="U36" s="12" t="n">
        <v>0</v>
      </c>
      <c r="V36" s="13" t="n">
        <v>0</v>
      </c>
      <c r="W36" s="12" t="n">
        <v>0</v>
      </c>
      <c r="X36" s="14" t="inlineStr">
        <is>
          <t>21053022240227362000134000000000003926044078079450</t>
        </is>
      </c>
    </row>
    <row r="37" ht="15" customHeight="1">
      <c r="A37" s="15" t="inlineStr">
        <is>
          <t>13911662000165</t>
        </is>
      </c>
      <c r="B37" s="15" t="inlineStr">
        <is>
          <t>MUNICIPIO DE SITIO NOVO - FUNDO MUNICIPAL DE SAUDE</t>
        </is>
      </c>
      <c r="C37" s="16" t="inlineStr">
        <is>
          <t>11.04.2026</t>
        </is>
      </c>
      <c r="D37" s="16" t="inlineStr">
        <is>
          <t>38</t>
        </is>
      </c>
      <c r="E37" s="11" t="inlineStr">
        <is>
          <t>✓</t>
        </is>
      </c>
      <c r="F37" s="16" t="inlineStr">
        <is>
          <t>140101</t>
        </is>
      </c>
      <c r="G37" s="17" t="n">
        <v>4624.58</v>
      </c>
      <c r="H37" s="17" t="n">
        <v>0</v>
      </c>
      <c r="I37" s="17" t="n">
        <v>0</v>
      </c>
      <c r="J37" s="17" t="n">
        <v>4624.58</v>
      </c>
      <c r="K37" s="16" t="inlineStr">
        <is>
          <t>Não Retido</t>
        </is>
      </c>
      <c r="L37" s="17" t="n">
        <v>0</v>
      </c>
      <c r="M37" s="18" t="n">
        <v>0</v>
      </c>
      <c r="N37" s="17" t="n">
        <v>0</v>
      </c>
      <c r="O37" s="17" t="n">
        <v>0</v>
      </c>
      <c r="P37" s="17" t="n">
        <v>0</v>
      </c>
      <c r="Q37" s="17" t="n">
        <v>0</v>
      </c>
      <c r="R37" s="17" t="n">
        <v>0</v>
      </c>
      <c r="S37" s="18" t="n">
        <v>0</v>
      </c>
      <c r="T37" s="17" t="n">
        <v>0</v>
      </c>
      <c r="U37" s="17" t="n">
        <v>0</v>
      </c>
      <c r="V37" s="18" t="n">
        <v>0</v>
      </c>
      <c r="W37" s="17" t="n">
        <v>0</v>
      </c>
      <c r="X37" s="19" t="inlineStr">
        <is>
          <t>21053022240227362000134000000000003826045646158104</t>
        </is>
      </c>
    </row>
    <row r="38" ht="15" customHeight="1">
      <c r="A38" s="9" t="inlineStr">
        <is>
          <t>13911662000165</t>
        </is>
      </c>
      <c r="B38" s="9" t="inlineStr">
        <is>
          <t>MUNICIPIO DE SITIO NOVO - FUNDO MUNICIPAL DE SAUDE</t>
        </is>
      </c>
      <c r="C38" s="10" t="inlineStr">
        <is>
          <t>11.04.2026</t>
        </is>
      </c>
      <c r="D38" s="10" t="inlineStr">
        <is>
          <t>37</t>
        </is>
      </c>
      <c r="E38" s="11" t="inlineStr">
        <is>
          <t>✓</t>
        </is>
      </c>
      <c r="F38" s="10" t="inlineStr">
        <is>
          <t>140101</t>
        </is>
      </c>
      <c r="G38" s="12" t="n">
        <v>5712.99</v>
      </c>
      <c r="H38" s="12" t="n">
        <v>0</v>
      </c>
      <c r="I38" s="12" t="n">
        <v>0</v>
      </c>
      <c r="J38" s="12" t="n">
        <v>5712.99</v>
      </c>
      <c r="K38" s="10" t="inlineStr">
        <is>
          <t>Não Retido</t>
        </is>
      </c>
      <c r="L38" s="12" t="n">
        <v>0</v>
      </c>
      <c r="M38" s="13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3" t="n">
        <v>0</v>
      </c>
      <c r="T38" s="12" t="n">
        <v>0</v>
      </c>
      <c r="U38" s="12" t="n">
        <v>0</v>
      </c>
      <c r="V38" s="13" t="n">
        <v>0</v>
      </c>
      <c r="W38" s="12" t="n">
        <v>0</v>
      </c>
      <c r="X38" s="14" t="inlineStr">
        <is>
          <t>21053022240227362000134000000000003726042755925825</t>
        </is>
      </c>
    </row>
    <row r="39" ht="15" customHeight="1">
      <c r="A39" s="15" t="inlineStr">
        <is>
          <t>13911662000165</t>
        </is>
      </c>
      <c r="B39" s="15" t="inlineStr">
        <is>
          <t>MUNICIPIO DE SITIO NOVO - FUNDO MUNICIPAL DE SAUDE</t>
        </is>
      </c>
      <c r="C39" s="16" t="inlineStr">
        <is>
          <t>11.04.2026</t>
        </is>
      </c>
      <c r="D39" s="16" t="inlineStr">
        <is>
          <t>36</t>
        </is>
      </c>
      <c r="E39" s="11" t="inlineStr">
        <is>
          <t>✓</t>
        </is>
      </c>
      <c r="F39" s="16" t="inlineStr">
        <is>
          <t>140101</t>
        </is>
      </c>
      <c r="G39" s="17" t="n">
        <v>3606.01</v>
      </c>
      <c r="H39" s="17" t="n">
        <v>0</v>
      </c>
      <c r="I39" s="17" t="n">
        <v>0</v>
      </c>
      <c r="J39" s="17" t="n">
        <v>3606.01</v>
      </c>
      <c r="K39" s="16" t="inlineStr">
        <is>
          <t>Não Retido</t>
        </is>
      </c>
      <c r="L39" s="17" t="n">
        <v>0</v>
      </c>
      <c r="M39" s="18" t="n">
        <v>0</v>
      </c>
      <c r="N39" s="17" t="n">
        <v>0</v>
      </c>
      <c r="O39" s="17" t="n">
        <v>0</v>
      </c>
      <c r="P39" s="17" t="n">
        <v>0</v>
      </c>
      <c r="Q39" s="17" t="n">
        <v>0</v>
      </c>
      <c r="R39" s="17" t="n">
        <v>0</v>
      </c>
      <c r="S39" s="18" t="n">
        <v>0</v>
      </c>
      <c r="T39" s="17" t="n">
        <v>0</v>
      </c>
      <c r="U39" s="17" t="n">
        <v>0</v>
      </c>
      <c r="V39" s="18" t="n">
        <v>0</v>
      </c>
      <c r="W39" s="17" t="n">
        <v>0</v>
      </c>
      <c r="X39" s="19" t="inlineStr">
        <is>
          <t>21053022240227362000134000000000003626046435256417</t>
        </is>
      </c>
    </row>
    <row r="40" ht="15" customHeight="1">
      <c r="A40" s="9" t="inlineStr">
        <is>
          <t>13911662000165</t>
        </is>
      </c>
      <c r="B40" s="9" t="inlineStr">
        <is>
          <t>MUNICIPIO DE SITIO NOVO - FUNDO MUNICIPAL DE SAUDE</t>
        </is>
      </c>
      <c r="C40" s="10" t="inlineStr">
        <is>
          <t>11.04.2026</t>
        </is>
      </c>
      <c r="D40" s="10" t="inlineStr">
        <is>
          <t>35</t>
        </is>
      </c>
      <c r="E40" s="11" t="inlineStr">
        <is>
          <t>✓</t>
        </is>
      </c>
      <c r="F40" s="10" t="inlineStr">
        <is>
          <t>140101</t>
        </is>
      </c>
      <c r="G40" s="12" t="n">
        <v>10388.52</v>
      </c>
      <c r="H40" s="12" t="n">
        <v>0</v>
      </c>
      <c r="I40" s="12" t="n">
        <v>0</v>
      </c>
      <c r="J40" s="12" t="n">
        <v>10388.52</v>
      </c>
      <c r="K40" s="10" t="inlineStr">
        <is>
          <t>Não Retido</t>
        </is>
      </c>
      <c r="L40" s="12" t="n">
        <v>0</v>
      </c>
      <c r="M40" s="13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3" t="n">
        <v>0</v>
      </c>
      <c r="T40" s="12" t="n">
        <v>0</v>
      </c>
      <c r="U40" s="12" t="n">
        <v>0</v>
      </c>
      <c r="V40" s="13" t="n">
        <v>0</v>
      </c>
      <c r="W40" s="12" t="n">
        <v>0</v>
      </c>
      <c r="X40" s="14" t="inlineStr">
        <is>
          <t>21053022240227362000134000000000003526049130759556</t>
        </is>
      </c>
    </row>
    <row r="41" ht="15" customHeight="1">
      <c r="A41" s="15" t="inlineStr">
        <is>
          <t>13911662000165</t>
        </is>
      </c>
      <c r="B41" s="15" t="inlineStr">
        <is>
          <t>MUNICIPIO DE SITIO NOVO - FUNDO MUNICIPAL DE SAUDE</t>
        </is>
      </c>
      <c r="C41" s="16" t="inlineStr">
        <is>
          <t>11.04.2026</t>
        </is>
      </c>
      <c r="D41" s="16" t="inlineStr">
        <is>
          <t>34</t>
        </is>
      </c>
      <c r="E41" s="11" t="inlineStr">
        <is>
          <t>✓</t>
        </is>
      </c>
      <c r="F41" s="16" t="inlineStr">
        <is>
          <t>140101</t>
        </is>
      </c>
      <c r="G41" s="17" t="n">
        <v>5587.1</v>
      </c>
      <c r="H41" s="17" t="n">
        <v>0</v>
      </c>
      <c r="I41" s="17" t="n">
        <v>0</v>
      </c>
      <c r="J41" s="17" t="n">
        <v>5587.1</v>
      </c>
      <c r="K41" s="16" t="inlineStr">
        <is>
          <t>Não Retido</t>
        </is>
      </c>
      <c r="L41" s="17" t="n">
        <v>0</v>
      </c>
      <c r="M41" s="18" t="n">
        <v>0</v>
      </c>
      <c r="N41" s="17" t="n">
        <v>0</v>
      </c>
      <c r="O41" s="17" t="n">
        <v>0</v>
      </c>
      <c r="P41" s="17" t="n">
        <v>0</v>
      </c>
      <c r="Q41" s="17" t="n">
        <v>0</v>
      </c>
      <c r="R41" s="17" t="n">
        <v>0</v>
      </c>
      <c r="S41" s="18" t="n">
        <v>0</v>
      </c>
      <c r="T41" s="17" t="n">
        <v>0</v>
      </c>
      <c r="U41" s="17" t="n">
        <v>0</v>
      </c>
      <c r="V41" s="18" t="n">
        <v>0</v>
      </c>
      <c r="W41" s="17" t="n">
        <v>0</v>
      </c>
      <c r="X41" s="19" t="inlineStr">
        <is>
          <t>21053022240227362000134000000000003426041164431970</t>
        </is>
      </c>
    </row>
    <row r="42" ht="18" customHeight="1">
      <c r="A42" s="32" t="inlineStr">
        <is>
          <t>TOTAL  |  Regular: 34  |  Substituídas: 2  |  Canceladas: 2  |  Cancelamento em análise: 0</t>
        </is>
      </c>
      <c r="G42" s="33" t="n">
        <v>189650.2</v>
      </c>
      <c r="H42" s="34" t="inlineStr"/>
      <c r="I42" s="33">
        <f>SUMIFS(I4:I41,E4:E41,"&lt;&gt;*Cancelada*")</f>
        <v/>
      </c>
      <c r="J42" s="33" t="n">
        <v>189650.2</v>
      </c>
      <c r="K42" s="34" t="inlineStr"/>
      <c r="L42" s="33">
        <f>SUMIFS(L4:L41,E4:E41,"&lt;&gt;*Cancelada*")</f>
        <v/>
      </c>
      <c r="M42" s="34" t="inlineStr"/>
      <c r="N42" s="33">
        <f>SUMIFS(N4:N41,E4:E41,"&lt;&gt;*Cancelada*")</f>
        <v/>
      </c>
      <c r="O42" s="33">
        <f>SUMIFS(O4:O41,E4:E41,"&lt;&gt;*Cancelada*")</f>
        <v/>
      </c>
      <c r="P42" s="33">
        <f>SUMIFS(P4:P41,E4:E41,"&lt;&gt;*Cancelada*")</f>
        <v/>
      </c>
      <c r="Q42" s="33">
        <f>SUMIFS(Q4:Q41,E4:E41,"&lt;&gt;*Cancelada*")</f>
        <v/>
      </c>
      <c r="R42" s="33">
        <f>SUMIFS(R4:R41,E4:E41,"&lt;&gt;*Cancelada*")</f>
        <v/>
      </c>
      <c r="S42" s="34" t="inlineStr"/>
      <c r="T42" s="33">
        <f>SUMIFS(T4:T41,E4:E41,"&lt;&gt;*Cancelada*")</f>
        <v/>
      </c>
      <c r="U42" s="33">
        <f>SUMIFS(U4:U41,E4:E41,"&lt;&gt;*Cancelada*")</f>
        <v/>
      </c>
      <c r="V42" s="34" t="inlineStr"/>
      <c r="W42" s="33">
        <f>SUMIFS(W4:W41,E4:E41,"&lt;&gt;*Cancelada*")</f>
        <v/>
      </c>
      <c r="X42" s="34" t="inlineStr"/>
    </row>
    <row r="43">
      <c r="M43" s="35" t="inlineStr">
        <is>
          <t>Não Retido</t>
        </is>
      </c>
      <c r="N43" s="36">
        <f>SUMIFS(N4:N41,K4:K41,"Não Retido",E4:E41,"&lt;&gt;*Cancelada*")</f>
        <v/>
      </c>
    </row>
    <row r="44">
      <c r="M44" s="37" t="inlineStr">
        <is>
          <t>Retido</t>
        </is>
      </c>
      <c r="N44" s="38">
        <f>SUMIFS(N4:N41,K4:K41,"Retido",E4:E41,"&lt;&gt;*Cancelada*")</f>
        <v/>
      </c>
    </row>
  </sheetData>
  <autoFilter ref="A3:X3"/>
  <mergeCells count="7">
    <mergeCell ref="A2:B2"/>
    <mergeCell ref="A42:F42"/>
    <mergeCell ref="X2"/>
    <mergeCell ref="C2:J2"/>
    <mergeCell ref="K2:N2"/>
    <mergeCell ref="A1:X1"/>
    <mergeCell ref="O2:W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3" customWidth="1" min="3" max="3"/>
    <col width="10" customWidth="1" min="4" max="4"/>
    <col width="20" customWidth="1" min="5" max="5"/>
    <col width="10" customWidth="1" min="6" max="6"/>
    <col width="18" customWidth="1" min="7" max="7"/>
    <col width="12" customWidth="1" min="8" max="8"/>
    <col width="14" customWidth="1" min="9" max="9"/>
    <col width="16" customWidth="1" min="10" max="10"/>
    <col width="12" customWidth="1" min="11" max="11"/>
    <col width="16" customWidth="1" min="12" max="12"/>
    <col width="12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3" customWidth="1" min="19" max="19"/>
    <col width="14" customWidth="1" min="20" max="20"/>
    <col width="14" customWidth="1" min="21" max="21"/>
    <col width="15" customWidth="1" min="22" max="22"/>
    <col width="14" customWidth="1" min="23" max="23"/>
    <col width="40" customWidth="1" min="24" max="24"/>
  </cols>
  <sheetData>
    <row r="1" ht="22" customHeight="1">
      <c r="A1" s="1" t="inlineStr">
        <is>
          <t>DETALHAMENTO DE NFS-e  —  V F BARROS - CAPACETE  —  04/2026 - REGIME: Simples Nacional EPP</t>
        </is>
      </c>
    </row>
    <row r="2" ht="18" customHeight="1">
      <c r="A2" s="2" t="inlineStr">
        <is>
          <t>PRESTADOR</t>
        </is>
      </c>
      <c r="C2" s="3" t="inlineStr">
        <is>
          <t>DOCUMENTO</t>
        </is>
      </c>
      <c r="K2" s="4" t="inlineStr">
        <is>
          <t>ISS</t>
        </is>
      </c>
      <c r="O2" s="5" t="inlineStr">
        <is>
          <t>RETENÇÕES FEDERAIS</t>
        </is>
      </c>
      <c r="X2" s="6" t="inlineStr">
        <is>
          <t>NOTA</t>
        </is>
      </c>
    </row>
    <row r="3" ht="28" customHeight="1">
      <c r="A3" s="7" t="inlineStr">
        <is>
          <t>CNPJ</t>
        </is>
      </c>
      <c r="B3" s="7" t="inlineStr">
        <is>
          <t>PRESTADOR</t>
        </is>
      </c>
      <c r="C3" s="7" t="inlineStr">
        <is>
          <t>EMISSÃO</t>
        </is>
      </c>
      <c r="D3" s="7" t="inlineStr">
        <is>
          <t>NÚMERO</t>
        </is>
      </c>
      <c r="E3" s="7" t="inlineStr">
        <is>
          <t>STATUS</t>
        </is>
      </c>
      <c r="F3" s="7" t="inlineStr">
        <is>
          <t>CNAE</t>
        </is>
      </c>
      <c r="G3" s="7" t="inlineStr">
        <is>
          <t>VALOR TOTAL NFSe</t>
        </is>
      </c>
      <c r="H3" s="7" t="inlineStr">
        <is>
          <t>DEDUÇÃO</t>
        </is>
      </c>
      <c r="I3" s="8" t="inlineStr">
        <is>
          <t>DESCONTOS
INCONDICIONADOS</t>
        </is>
      </c>
      <c r="J3" s="7" t="inlineStr">
        <is>
          <t>VALOR SERVIÇO</t>
        </is>
      </c>
      <c r="K3" s="7" t="inlineStr">
        <is>
          <t>ISS</t>
        </is>
      </c>
      <c r="L3" s="7" t="inlineStr">
        <is>
          <t>BASE DE CALCULO</t>
        </is>
      </c>
      <c r="M3" s="7" t="inlineStr">
        <is>
          <t>ALÍQUOTA</t>
        </is>
      </c>
      <c r="N3" s="7" t="inlineStr">
        <is>
          <t>VALOR ISS</t>
        </is>
      </c>
      <c r="O3" s="7" t="inlineStr">
        <is>
          <t>INSS</t>
        </is>
      </c>
      <c r="P3" s="7" t="inlineStr">
        <is>
          <t>IRRF</t>
        </is>
      </c>
      <c r="Q3" s="7" t="inlineStr">
        <is>
          <t>CSLL</t>
        </is>
      </c>
      <c r="R3" s="7" t="inlineStr">
        <is>
          <t>BASE PIS</t>
        </is>
      </c>
      <c r="S3" s="7" t="inlineStr">
        <is>
          <t>ALIQUOTA PIS</t>
        </is>
      </c>
      <c r="T3" s="7" t="inlineStr">
        <is>
          <t>PIS</t>
        </is>
      </c>
      <c r="U3" s="7" t="inlineStr">
        <is>
          <t>BASE COFINS</t>
        </is>
      </c>
      <c r="V3" s="7" t="inlineStr">
        <is>
          <t>ALIQUOTA COFINS</t>
        </is>
      </c>
      <c r="W3" s="7" t="inlineStr">
        <is>
          <t>COFINS</t>
        </is>
      </c>
      <c r="X3" s="7" t="inlineStr">
        <is>
          <t>CHAVE</t>
        </is>
      </c>
    </row>
    <row r="4" ht="18" customHeight="1">
      <c r="A4" s="32" t="inlineStr">
        <is>
          <t>TOTAL  |  Regular: 0  |  Canceladas: 0  |  Cancelamento em análise: 0</t>
        </is>
      </c>
      <c r="G4" s="33" t="n">
        <v>0</v>
      </c>
      <c r="H4" s="34" t="inlineStr"/>
      <c r="I4" s="33">
        <f>SUMIFS(I4:I3,E4:E3,"&lt;&gt;*Cancelada*")</f>
        <v/>
      </c>
      <c r="J4" s="33" t="n">
        <v>0</v>
      </c>
      <c r="K4" s="34" t="inlineStr"/>
      <c r="L4" s="33">
        <f>SUMIFS(L4:L3,E4:E3,"&lt;&gt;*Cancelada*")</f>
        <v/>
      </c>
      <c r="M4" s="34" t="inlineStr"/>
      <c r="N4" s="33">
        <f>SUMIFS(N4:N3,E4:E3,"&lt;&gt;*Cancelada*")</f>
        <v/>
      </c>
      <c r="O4" s="33">
        <f>SUMIFS(O4:O3,E4:E3,"&lt;&gt;*Cancelada*")</f>
        <v/>
      </c>
      <c r="P4" s="33">
        <f>SUMIFS(P4:P3,E4:E3,"&lt;&gt;*Cancelada*")</f>
        <v/>
      </c>
      <c r="Q4" s="33">
        <f>SUMIFS(Q4:Q3,E4:E3,"&lt;&gt;*Cancelada*")</f>
        <v/>
      </c>
      <c r="R4" s="33">
        <f>SUMIFS(R4:R3,E4:E3,"&lt;&gt;*Cancelada*")</f>
        <v/>
      </c>
      <c r="S4" s="34" t="inlineStr"/>
      <c r="T4" s="33">
        <f>SUMIFS(T4:T3,E4:E3,"&lt;&gt;*Cancelada*")</f>
        <v/>
      </c>
      <c r="U4" s="33">
        <f>SUMIFS(U4:U3,E4:E3,"&lt;&gt;*Cancelada*")</f>
        <v/>
      </c>
      <c r="V4" s="34" t="inlineStr"/>
      <c r="W4" s="33">
        <f>SUMIFS(W4:W3,E4:E3,"&lt;&gt;*Cancelada*")</f>
        <v/>
      </c>
      <c r="X4" s="34" t="inlineStr"/>
    </row>
    <row r="5">
      <c r="M5" s="35" t="inlineStr">
        <is>
          <t>Não Retido</t>
        </is>
      </c>
      <c r="N5" s="36">
        <f>SUMIFS(N4:N3,K4:K3,"Não Retido",E4:E3,"&lt;&gt;*Cancelada*")</f>
        <v/>
      </c>
    </row>
    <row r="6">
      <c r="M6" s="37" t="inlineStr">
        <is>
          <t>Retido</t>
        </is>
      </c>
      <c r="N6" s="38">
        <f>SUMIFS(N4:N3,K4:K3,"Retido",E4:E3,"&lt;&gt;*Cancelada*")</f>
        <v/>
      </c>
    </row>
  </sheetData>
  <autoFilter ref="A3:X3"/>
  <mergeCells count="7">
    <mergeCell ref="A2:B2"/>
    <mergeCell ref="X2"/>
    <mergeCell ref="C2:J2"/>
    <mergeCell ref="K2:N2"/>
    <mergeCell ref="A1:X1"/>
    <mergeCell ref="A4:F4"/>
    <mergeCell ref="O2:W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2026-05-18T20:15:44Z</dcterms:created>
  <dcterms:modified xmlns:dcterms="http://purl.org/dc/terms/" xmlns:xsi="http://www.w3.org/2001/XMLSchema-instance" xsi:type="dcterms:W3CDTF">2026-05-18T20:15:45Z</dcterms:modified>
</cp:coreProperties>
</file>