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" sheetId="1" state="visible" r:id="rId1"/>
    <sheet xmlns:r="http://schemas.openxmlformats.org/officeDocument/2006/relationships" name="TOMADO" sheetId="2" state="visible" r:id="rId2"/>
  </sheets>
  <definedNames>
    <definedName name="_xlnm._FilterDatabase" localSheetId="0" hidden="1">'PRESTADO'!$A$3:$X$3</definedName>
    <definedName name="_xlnm._FilterDatabase" localSheetId="1" hidden="1">'TOMADO'!$A$3:$X$3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color rgb="FF000000"/>
      <sz val="9"/>
    </font>
    <font>
      <name val="Calibri"/>
      <color rgb="FF000000"/>
      <sz val="8"/>
    </font>
    <font>
      <name val="Calibri"/>
      <b val="1"/>
      <color rgb="FF1E8449"/>
      <sz val="10"/>
    </font>
    <font>
      <name val="Calibri"/>
      <b val="1"/>
      <color rgb="FF000000"/>
      <sz val="10"/>
    </font>
    <font>
      <name val="Calibri"/>
      <b val="1"/>
      <color rgb="FFC0392B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F6B75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2E86C1"/>
      </patternFill>
    </fill>
    <fill>
      <patternFill patternType="solid">
        <fgColor rgb="FFF4F6F7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9E79F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right" vertical="center"/>
    </xf>
    <xf numFmtId="0" fontId="0" fillId="12" borderId="1" pivotButton="0" quotePrefix="0" xfId="0"/>
    <xf numFmtId="0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right" vertical="center"/>
    </xf>
    <xf numFmtId="164" fontId="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TALMATHE  - 03113973000125 —  04/2026 - REGIME: Simples Nacional EPP</t>
        </is>
      </c>
    </row>
    <row r="2" ht="18" customHeight="1">
      <c r="A2" s="2" t="inlineStr">
        <is>
          <t>TOMADOR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CLIENTE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5" customHeight="1">
      <c r="A4" s="9" t="inlineStr">
        <is>
          <t>89548523000180</t>
        </is>
      </c>
      <c r="B4" s="9" t="inlineStr">
        <is>
          <t>ALISUL ALIMENTOS SA</t>
        </is>
      </c>
      <c r="C4" s="10" t="inlineStr">
        <is>
          <t>17.04.2026</t>
        </is>
      </c>
      <c r="D4" s="10" t="inlineStr">
        <is>
          <t>9</t>
        </is>
      </c>
      <c r="E4" s="11" t="inlineStr">
        <is>
          <t>✓</t>
        </is>
      </c>
      <c r="F4" s="10" t="inlineStr">
        <is>
          <t>100901</t>
        </is>
      </c>
      <c r="G4" s="12" t="n">
        <v>10834.57</v>
      </c>
      <c r="H4" s="12" t="n">
        <v>0</v>
      </c>
      <c r="I4" s="12" t="n">
        <v>0</v>
      </c>
      <c r="J4" s="12" t="n">
        <v>10834.57</v>
      </c>
      <c r="K4" s="10" t="inlineStr">
        <is>
          <t>Não Retido</t>
        </is>
      </c>
      <c r="L4" s="12" t="n">
        <v>0</v>
      </c>
      <c r="M4" s="13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3" t="n">
        <v>0</v>
      </c>
      <c r="T4" s="12" t="n">
        <v>0</v>
      </c>
      <c r="U4" s="12" t="n">
        <v>0</v>
      </c>
      <c r="V4" s="13" t="n">
        <v>0</v>
      </c>
      <c r="W4" s="12" t="n">
        <v>0</v>
      </c>
      <c r="X4" s="14" t="inlineStr">
        <is>
          <t>21053022203113973000125000000000000926040035623705</t>
        </is>
      </c>
    </row>
    <row r="5" ht="15" customHeight="1">
      <c r="A5" s="15" t="inlineStr">
        <is>
          <t>03851373000164</t>
        </is>
      </c>
      <c r="B5" s="15" t="inlineStr">
        <is>
          <t>SANTA REGIA INTERMEDIARIO DE PRODUTOS VETERINARIOS LTDA</t>
        </is>
      </c>
      <c r="C5" s="16" t="inlineStr">
        <is>
          <t>27.04.2026</t>
        </is>
      </c>
      <c r="D5" s="16" t="inlineStr">
        <is>
          <t>11</t>
        </is>
      </c>
      <c r="E5" s="11" t="inlineStr">
        <is>
          <t>✓</t>
        </is>
      </c>
      <c r="F5" s="16" t="inlineStr">
        <is>
          <t>100901</t>
        </is>
      </c>
      <c r="G5" s="17" t="n">
        <v>355</v>
      </c>
      <c r="H5" s="17" t="n">
        <v>0</v>
      </c>
      <c r="I5" s="17" t="n">
        <v>0</v>
      </c>
      <c r="J5" s="17" t="n">
        <v>355</v>
      </c>
      <c r="K5" s="16" t="inlineStr">
        <is>
          <t>Não Retido</t>
        </is>
      </c>
      <c r="L5" s="17" t="n">
        <v>0</v>
      </c>
      <c r="M5" s="18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8" t="n">
        <v>0</v>
      </c>
      <c r="T5" s="17" t="n">
        <v>0</v>
      </c>
      <c r="U5" s="17" t="n">
        <v>0</v>
      </c>
      <c r="V5" s="18" t="n">
        <v>0</v>
      </c>
      <c r="W5" s="17" t="n">
        <v>0</v>
      </c>
      <c r="X5" s="19" t="inlineStr">
        <is>
          <t>21053022203113973000125000000000001126042220495602</t>
        </is>
      </c>
    </row>
    <row r="6" ht="15" customHeight="1">
      <c r="A6" s="9" t="inlineStr">
        <is>
          <t>89548523000180</t>
        </is>
      </c>
      <c r="B6" s="9" t="inlineStr">
        <is>
          <t>ALISUL ALIMENTOS SA</t>
        </is>
      </c>
      <c r="C6" s="10" t="inlineStr">
        <is>
          <t>27.04.2026</t>
        </is>
      </c>
      <c r="D6" s="10" t="inlineStr">
        <is>
          <t>10</t>
        </is>
      </c>
      <c r="E6" s="11" t="inlineStr">
        <is>
          <t>✓</t>
        </is>
      </c>
      <c r="F6" s="10" t="inlineStr">
        <is>
          <t>100901</t>
        </is>
      </c>
      <c r="G6" s="12" t="n">
        <v>980.61</v>
      </c>
      <c r="H6" s="12" t="n">
        <v>0</v>
      </c>
      <c r="I6" s="12" t="n">
        <v>0</v>
      </c>
      <c r="J6" s="12" t="n">
        <v>980.61</v>
      </c>
      <c r="K6" s="10" t="inlineStr">
        <is>
          <t>Não Retido</t>
        </is>
      </c>
      <c r="L6" s="12" t="n">
        <v>0</v>
      </c>
      <c r="M6" s="13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3" t="n">
        <v>0</v>
      </c>
      <c r="T6" s="12" t="n">
        <v>0</v>
      </c>
      <c r="U6" s="12" t="n">
        <v>0</v>
      </c>
      <c r="V6" s="13" t="n">
        <v>0</v>
      </c>
      <c r="W6" s="12" t="n">
        <v>0</v>
      </c>
      <c r="X6" s="14" t="inlineStr">
        <is>
          <t>21053022203113973000125000000000001026046050142487</t>
        </is>
      </c>
    </row>
    <row r="7" ht="18" customHeight="1">
      <c r="A7" s="20" t="inlineStr">
        <is>
          <t>TOTAL  |  Regular: 3  |  Canceladas: 0  |  Cancelamento em análise: 0</t>
        </is>
      </c>
      <c r="G7" s="21" t="n">
        <v>12170.18</v>
      </c>
      <c r="H7" s="22" t="inlineStr"/>
      <c r="I7" s="21">
        <f>SUMIFS(I4:I6,E4:E6,"&lt;&gt;*Cancelada*")</f>
        <v/>
      </c>
      <c r="J7" s="21" t="n">
        <v>12170.18</v>
      </c>
      <c r="K7" s="22" t="inlineStr"/>
      <c r="L7" s="21">
        <f>SUMIFS(L4:L6,E4:E6,"&lt;&gt;*Cancelada*")</f>
        <v/>
      </c>
      <c r="M7" s="22" t="inlineStr"/>
      <c r="N7" s="21">
        <f>SUMIFS(N4:N6,E4:E6,"&lt;&gt;*Cancelada*")</f>
        <v/>
      </c>
      <c r="O7" s="21">
        <f>SUMIFS(O4:O6,E4:E6,"&lt;&gt;*Cancelada*")</f>
        <v/>
      </c>
      <c r="P7" s="21">
        <f>SUMIFS(P4:P6,E4:E6,"&lt;&gt;*Cancelada*")</f>
        <v/>
      </c>
      <c r="Q7" s="21">
        <f>SUMIFS(Q4:Q6,E4:E6,"&lt;&gt;*Cancelada*")</f>
        <v/>
      </c>
      <c r="R7" s="21">
        <f>SUMIFS(R4:R6,E4:E6,"&lt;&gt;*Cancelada*")</f>
        <v/>
      </c>
      <c r="S7" s="22" t="inlineStr"/>
      <c r="T7" s="21">
        <f>SUMIFS(T4:T6,E4:E6,"&lt;&gt;*Cancelada*")</f>
        <v/>
      </c>
      <c r="U7" s="21">
        <f>SUMIFS(U4:U6,E4:E6,"&lt;&gt;*Cancelada*")</f>
        <v/>
      </c>
      <c r="V7" s="22" t="inlineStr"/>
      <c r="W7" s="21">
        <f>SUMIFS(W4:W6,E4:E6,"&lt;&gt;*Cancelada*")</f>
        <v/>
      </c>
      <c r="X7" s="22" t="inlineStr"/>
    </row>
    <row r="8">
      <c r="M8" s="23" t="inlineStr">
        <is>
          <t>Não Retido</t>
        </is>
      </c>
      <c r="N8" s="24">
        <f>SUMIFS(N4:N6,K4:K6,"Não Retido",E4:E6,"&lt;&gt;*Cancelada*")</f>
        <v/>
      </c>
    </row>
    <row r="9">
      <c r="M9" s="25" t="inlineStr">
        <is>
          <t>Retido</t>
        </is>
      </c>
      <c r="N9" s="26">
        <f>SUMIFS(N4:N6,K4:K6,"Retido",E4:E6,"&lt;&gt;*Cancelada*")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O2:W2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TALMATHE  —  04/2026 - REGIME: Simples Nacional EPP</t>
        </is>
      </c>
    </row>
    <row r="2" ht="18" customHeight="1">
      <c r="A2" s="2" t="inlineStr">
        <is>
          <t>PRESTADOR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PRESTADOR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8" customHeight="1">
      <c r="A4" s="20" t="inlineStr">
        <is>
          <t>TOTAL  |  Regular: 0  |  Canceladas: 0  |  Cancelamento em análise: 0</t>
        </is>
      </c>
      <c r="G4" s="21" t="n">
        <v>0</v>
      </c>
      <c r="H4" s="22" t="inlineStr"/>
      <c r="I4" s="21">
        <f>SUMIFS(I4:I3,E4:E3,"&lt;&gt;*Cancelada*")</f>
        <v/>
      </c>
      <c r="J4" s="21" t="n">
        <v>0</v>
      </c>
      <c r="K4" s="22" t="inlineStr"/>
      <c r="L4" s="21">
        <f>SUMIFS(L4:L3,E4:E3,"&lt;&gt;*Cancelada*")</f>
        <v/>
      </c>
      <c r="M4" s="22" t="inlineStr"/>
      <c r="N4" s="21">
        <f>SUMIFS(N4:N3,E4:E3,"&lt;&gt;*Cancelada*")</f>
        <v/>
      </c>
      <c r="O4" s="21">
        <f>SUMIFS(O4:O3,E4:E3,"&lt;&gt;*Cancelada*")</f>
        <v/>
      </c>
      <c r="P4" s="21">
        <f>SUMIFS(P4:P3,E4:E3,"&lt;&gt;*Cancelada*")</f>
        <v/>
      </c>
      <c r="Q4" s="21">
        <f>SUMIFS(Q4:Q3,E4:E3,"&lt;&gt;*Cancelada*")</f>
        <v/>
      </c>
      <c r="R4" s="21">
        <f>SUMIFS(R4:R3,E4:E3,"&lt;&gt;*Cancelada*")</f>
        <v/>
      </c>
      <c r="S4" s="22" t="inlineStr"/>
      <c r="T4" s="21">
        <f>SUMIFS(T4:T3,E4:E3,"&lt;&gt;*Cancelada*")</f>
        <v/>
      </c>
      <c r="U4" s="21">
        <f>SUMIFS(U4:U3,E4:E3,"&lt;&gt;*Cancelada*")</f>
        <v/>
      </c>
      <c r="V4" s="22" t="inlineStr"/>
      <c r="W4" s="21">
        <f>SUMIFS(W4:W3,E4:E3,"&lt;&gt;*Cancelada*")</f>
        <v/>
      </c>
      <c r="X4" s="22" t="inlineStr"/>
    </row>
    <row r="5">
      <c r="M5" s="23" t="inlineStr">
        <is>
          <t>Não Retido</t>
        </is>
      </c>
      <c r="N5" s="24">
        <f>SUMIFS(N4:N3,K4:K3,"Não Retido",E4:E3,"&lt;&gt;*Cancelada*")</f>
        <v/>
      </c>
    </row>
    <row r="6">
      <c r="M6" s="25" t="inlineStr">
        <is>
          <t>Retido</t>
        </is>
      </c>
      <c r="N6" s="26">
        <f>SUMIFS(N4:N3,K4:K3,"Retido",E4:E3,"&lt;&gt;*Cancelada*")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A4:F4"/>
    <mergeCell ref="O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2026-05-18T20:10:17Z</dcterms:created>
  <dcterms:modified xmlns:dcterms="http://purl.org/dc/terms/" xmlns:xsi="http://www.w3.org/2001/XMLSchema-instance" xsi:type="dcterms:W3CDTF">2026-05-18T20:10:17Z</dcterms:modified>
</cp:coreProperties>
</file>